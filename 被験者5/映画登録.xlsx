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3" documentId="11_7453A52C2BC6AD035A0029F172B37DDFC46438DC" xr6:coauthVersionLast="47" xr6:coauthVersionMax="47" xr10:uidLastSave="{BE3A709B-FA5C-4299-9124-F7F849840EC4}"/>
  <bookViews>
    <workbookView xWindow="6840" yWindow="1116" windowWidth="10956" windowHeight="12528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2" l="1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2" i="2"/>
  <c r="N32" i="2"/>
  <c r="M33" i="2"/>
  <c r="N33" i="2"/>
  <c r="M34" i="2"/>
  <c r="N34" i="2"/>
  <c r="M35" i="2"/>
  <c r="N35" i="2"/>
  <c r="M36" i="2"/>
  <c r="N36" i="2"/>
  <c r="M37" i="2"/>
  <c r="N37" i="2"/>
  <c r="M38" i="2"/>
  <c r="N38" i="2"/>
  <c r="M43" i="2"/>
  <c r="N43" i="2"/>
  <c r="M44" i="2"/>
  <c r="N44" i="2"/>
  <c r="M45" i="2"/>
  <c r="N45" i="2"/>
  <c r="M46" i="2"/>
  <c r="N46" i="2"/>
  <c r="M47" i="2"/>
  <c r="N47" i="2"/>
  <c r="M48" i="2"/>
  <c r="N48" i="2"/>
  <c r="M49" i="2"/>
  <c r="N49" i="2"/>
  <c r="M52" i="2"/>
  <c r="N52" i="2"/>
  <c r="M53" i="2"/>
  <c r="N53" i="2"/>
  <c r="M54" i="2"/>
  <c r="N54" i="2"/>
  <c r="M55" i="2"/>
  <c r="N55" i="2"/>
  <c r="M56" i="2"/>
  <c r="N56" i="2"/>
  <c r="M57" i="2"/>
  <c r="N57" i="2"/>
  <c r="M58" i="2"/>
  <c r="N58" i="2"/>
  <c r="M63" i="2"/>
  <c r="N63" i="2"/>
  <c r="M64" i="2"/>
  <c r="N64" i="2"/>
  <c r="M65" i="2"/>
  <c r="N65" i="2"/>
  <c r="M66" i="2"/>
  <c r="N66" i="2"/>
  <c r="M67" i="2"/>
  <c r="N67" i="2"/>
  <c r="M68" i="2"/>
  <c r="N68" i="2"/>
  <c r="M69" i="2"/>
  <c r="N69" i="2"/>
  <c r="M72" i="2"/>
  <c r="N72" i="2"/>
  <c r="M73" i="2"/>
  <c r="N73" i="2"/>
  <c r="M74" i="2"/>
  <c r="N74" i="2"/>
  <c r="M75" i="2"/>
  <c r="N75" i="2"/>
  <c r="M76" i="2"/>
  <c r="N76" i="2"/>
  <c r="M77" i="2"/>
  <c r="N77" i="2"/>
  <c r="M78" i="2"/>
  <c r="N78" i="2"/>
  <c r="M83" i="2"/>
  <c r="N83" i="2"/>
  <c r="M84" i="2"/>
  <c r="N84" i="2"/>
  <c r="M85" i="2"/>
  <c r="N85" i="2"/>
  <c r="M86" i="2"/>
  <c r="N86" i="2"/>
  <c r="M87" i="2"/>
  <c r="N87" i="2"/>
  <c r="M88" i="2"/>
  <c r="N88" i="2"/>
  <c r="M89" i="2"/>
  <c r="N89" i="2"/>
  <c r="M92" i="2"/>
  <c r="N92" i="2"/>
  <c r="M93" i="2"/>
  <c r="N93" i="2"/>
  <c r="M94" i="2"/>
  <c r="N94" i="2"/>
  <c r="M95" i="2"/>
  <c r="N95" i="2"/>
  <c r="M96" i="2"/>
  <c r="N96" i="2"/>
  <c r="M97" i="2"/>
  <c r="N97" i="2"/>
  <c r="M98" i="2"/>
  <c r="N98" i="2"/>
  <c r="M103" i="2"/>
  <c r="O103" i="2" s="1"/>
  <c r="N103" i="2"/>
  <c r="M104" i="2"/>
  <c r="N104" i="2"/>
  <c r="M105" i="2"/>
  <c r="N105" i="2"/>
  <c r="M106" i="2"/>
  <c r="N106" i="2"/>
  <c r="M107" i="2"/>
  <c r="N107" i="2"/>
  <c r="M108" i="2"/>
  <c r="N108" i="2"/>
  <c r="M109" i="2"/>
  <c r="N109" i="2"/>
  <c r="M112" i="2"/>
  <c r="N112" i="2"/>
  <c r="M113" i="2"/>
  <c r="N113" i="2"/>
  <c r="M114" i="2"/>
  <c r="N114" i="2"/>
  <c r="M115" i="2"/>
  <c r="N115" i="2"/>
  <c r="M116" i="2"/>
  <c r="N116" i="2"/>
  <c r="M117" i="2"/>
  <c r="N117" i="2"/>
  <c r="M118" i="2"/>
  <c r="N118" i="2"/>
  <c r="M4" i="2"/>
  <c r="N4" i="2"/>
  <c r="M5" i="2"/>
  <c r="N5" i="2"/>
  <c r="M6" i="2"/>
  <c r="N6" i="2"/>
  <c r="M7" i="2"/>
  <c r="N7" i="2"/>
  <c r="M8" i="2"/>
  <c r="N8" i="2"/>
  <c r="M9" i="2"/>
  <c r="N9" i="2"/>
  <c r="N3" i="2"/>
  <c r="M3" i="2"/>
  <c r="O3" i="2" l="1"/>
  <c r="O63" i="2"/>
  <c r="O23" i="2"/>
  <c r="O72" i="2"/>
  <c r="O32" i="2"/>
  <c r="O112" i="2"/>
  <c r="O83" i="2"/>
  <c r="O43" i="2"/>
  <c r="O92" i="2"/>
  <c r="O52" i="2"/>
  <c r="O12" i="2"/>
</calcChain>
</file>

<file path=xl/sharedStrings.xml><?xml version="1.0" encoding="utf-8"?>
<sst xmlns="http://schemas.openxmlformats.org/spreadsheetml/2006/main" count="302" uniqueCount="61">
  <si>
    <t>面白かった映画</t>
    <rPh sb="0" eb="2">
      <t>オモシロ</t>
    </rPh>
    <rPh sb="5" eb="7">
      <t>エイガ</t>
    </rPh>
    <phoneticPr fontId="1"/>
  </si>
  <si>
    <t>面白くなかった映画</t>
    <rPh sb="0" eb="2">
      <t>オモシロ</t>
    </rPh>
    <rPh sb="7" eb="9">
      <t>エイガ</t>
    </rPh>
    <phoneticPr fontId="1"/>
  </si>
  <si>
    <t>1位</t>
    <rPh sb="1" eb="2">
      <t>イ</t>
    </rPh>
    <phoneticPr fontId="1"/>
  </si>
  <si>
    <t>2位</t>
    <rPh sb="1" eb="2">
      <t>イ</t>
    </rPh>
    <phoneticPr fontId="1"/>
  </si>
  <si>
    <t>3位</t>
    <rPh sb="1" eb="2">
      <t>イ</t>
    </rPh>
    <phoneticPr fontId="1"/>
  </si>
  <si>
    <t>4位</t>
    <rPh sb="1" eb="2">
      <t>イ</t>
    </rPh>
    <phoneticPr fontId="1"/>
  </si>
  <si>
    <t>5位</t>
    <rPh sb="1" eb="2">
      <t>イ</t>
    </rPh>
    <phoneticPr fontId="1"/>
  </si>
  <si>
    <t>6位</t>
    <rPh sb="1" eb="2">
      <t>イ</t>
    </rPh>
    <phoneticPr fontId="1"/>
  </si>
  <si>
    <t>7位</t>
    <rPh sb="1" eb="2">
      <t>イ</t>
    </rPh>
    <phoneticPr fontId="1"/>
  </si>
  <si>
    <t>8位</t>
    <rPh sb="1" eb="2">
      <t>イ</t>
    </rPh>
    <phoneticPr fontId="1"/>
  </si>
  <si>
    <t>9位</t>
    <rPh sb="1" eb="2">
      <t>イ</t>
    </rPh>
    <phoneticPr fontId="1"/>
  </si>
  <si>
    <t>10位</t>
    <rPh sb="2" eb="3">
      <t>イ</t>
    </rPh>
    <phoneticPr fontId="1"/>
  </si>
  <si>
    <t>The Butterfly Effect</t>
  </si>
  <si>
    <t>The Exorcist</t>
    <phoneticPr fontId="1"/>
  </si>
  <si>
    <t>Charlie and the Chocolate Factory</t>
  </si>
  <si>
    <t>F3</t>
    <phoneticPr fontId="1"/>
  </si>
  <si>
    <t>α/α+β</t>
    <phoneticPr fontId="1"/>
  </si>
  <si>
    <t>F4</t>
    <phoneticPr fontId="1"/>
  </si>
  <si>
    <t>β/α+β</t>
    <phoneticPr fontId="1"/>
  </si>
  <si>
    <t>s1</t>
    <phoneticPr fontId="1"/>
  </si>
  <si>
    <t>s2</t>
    <phoneticPr fontId="1"/>
  </si>
  <si>
    <t>s3</t>
  </si>
  <si>
    <t>s4</t>
  </si>
  <si>
    <t>s5</t>
  </si>
  <si>
    <t>s6</t>
  </si>
  <si>
    <t>s7</t>
  </si>
  <si>
    <t>t検定</t>
    <rPh sb="1" eb="3">
      <t>ケンテイ</t>
    </rPh>
    <phoneticPr fontId="1"/>
  </si>
  <si>
    <t>0interval</t>
    <phoneticPr fontId="1"/>
  </si>
  <si>
    <t>1interval</t>
    <phoneticPr fontId="1"/>
  </si>
  <si>
    <t>2interval</t>
  </si>
  <si>
    <t>3interval</t>
  </si>
  <si>
    <t>4interval</t>
  </si>
  <si>
    <t>5interval</t>
  </si>
  <si>
    <t>6interval</t>
  </si>
  <si>
    <t>7interval</t>
  </si>
  <si>
    <t>8interval</t>
  </si>
  <si>
    <t>9interval</t>
  </si>
  <si>
    <t>10interval</t>
  </si>
  <si>
    <t>0～2</t>
    <phoneticPr fontId="1"/>
  </si>
  <si>
    <t>8～10</t>
    <phoneticPr fontId="1"/>
  </si>
  <si>
    <t>α/α+γ</t>
    <phoneticPr fontId="1"/>
  </si>
  <si>
    <t>γ/α+γ</t>
    <phoneticPr fontId="1"/>
  </si>
  <si>
    <t>β/β+γ</t>
    <phoneticPr fontId="1"/>
  </si>
  <si>
    <t>γ/β+γ</t>
    <phoneticPr fontId="1"/>
  </si>
  <si>
    <t>The Shawshank Redemption</t>
  </si>
  <si>
    <t>Men in Black</t>
    <phoneticPr fontId="1"/>
  </si>
  <si>
    <t>Nacho Libre</t>
    <phoneticPr fontId="1"/>
  </si>
  <si>
    <t>PHONE BOOTH</t>
    <phoneticPr fontId="1"/>
  </si>
  <si>
    <t>Orphan</t>
    <phoneticPr fontId="1"/>
  </si>
  <si>
    <t>The NightMare Before Christmas</t>
    <phoneticPr fontId="1"/>
  </si>
  <si>
    <t>Death Note</t>
    <phoneticPr fontId="1"/>
  </si>
  <si>
    <t>Suspect X</t>
    <phoneticPr fontId="1"/>
  </si>
  <si>
    <t>The Cat Returns</t>
    <phoneticPr fontId="1"/>
  </si>
  <si>
    <t>The Hangover</t>
    <phoneticPr fontId="1"/>
  </si>
  <si>
    <t>Paranormal Activity</t>
    <phoneticPr fontId="1"/>
  </si>
  <si>
    <t>The Incredibles</t>
    <phoneticPr fontId="1"/>
  </si>
  <si>
    <t>Grave of the Fireflies</t>
    <phoneticPr fontId="1"/>
  </si>
  <si>
    <t>The Disappearance of Haruhi Suzumiya</t>
  </si>
  <si>
    <t>The Birds</t>
    <phoneticPr fontId="1"/>
  </si>
  <si>
    <t>Usual Suspects</t>
    <phoneticPr fontId="1"/>
  </si>
  <si>
    <t>Grave of the Fireflies (Hotaru no haka) (1988)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</si>
</sst>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"/>
  <sheetViews>
    <sheetView tabSelected="1" workbookViewId="0">
      <selection activeCell="D11" sqref="D11"/>
    </sheetView>
  </sheetViews>
  <sheetFormatPr defaultRowHeight="13.2" x14ac:dyDescent="0.2"/>
  <cols>
    <col min="1" max="1" width="10.6640625" customWidth="1"/>
    <col min="2" max="2" width="9" style="6"/>
    <col min="3" max="4" width="33.109375" customWidth="1"/>
  </cols>
  <sheetData>
    <row r="1" spans="2:4" ht="18.75" customHeight="1" thickBot="1" x14ac:dyDescent="0.25"/>
    <row r="2" spans="2:4" ht="18" customHeight="1" thickBot="1" x14ac:dyDescent="0.25">
      <c r="B2" s="7"/>
      <c r="C2" s="11" t="s">
        <v>0</v>
      </c>
      <c r="D2" s="12" t="s">
        <v>1</v>
      </c>
    </row>
    <row r="3" spans="2:4" ht="18" customHeight="1" x14ac:dyDescent="0.2">
      <c r="B3" s="8" t="s">
        <v>2</v>
      </c>
      <c r="C3" t="s">
        <v>44</v>
      </c>
      <c r="D3" s="1" t="s">
        <v>53</v>
      </c>
    </row>
    <row r="4" spans="2:4" ht="18" customHeight="1" x14ac:dyDescent="0.2">
      <c r="B4" s="9" t="s">
        <v>3</v>
      </c>
      <c r="C4" s="4" t="s">
        <v>45</v>
      </c>
      <c r="D4" s="2" t="s">
        <v>54</v>
      </c>
    </row>
    <row r="5" spans="2:4" ht="18" customHeight="1" x14ac:dyDescent="0.2">
      <c r="B5" s="9" t="s">
        <v>4</v>
      </c>
      <c r="C5" s="5" t="s">
        <v>46</v>
      </c>
      <c r="D5" s="2" t="s">
        <v>55</v>
      </c>
    </row>
    <row r="6" spans="2:4" ht="18" customHeight="1" x14ac:dyDescent="0.2">
      <c r="B6" s="9" t="s">
        <v>5</v>
      </c>
      <c r="C6" s="4" t="s">
        <v>47</v>
      </c>
      <c r="D6" s="2" t="s">
        <v>13</v>
      </c>
    </row>
    <row r="7" spans="2:4" ht="18" customHeight="1" x14ac:dyDescent="0.2">
      <c r="B7" s="9" t="s">
        <v>6</v>
      </c>
      <c r="C7" s="5" t="s">
        <v>48</v>
      </c>
      <c r="D7" s="2" t="s">
        <v>14</v>
      </c>
    </row>
    <row r="8" spans="2:4" ht="18" customHeight="1" thickBot="1" x14ac:dyDescent="0.25">
      <c r="B8" s="9" t="s">
        <v>7</v>
      </c>
      <c r="C8" s="13" t="s">
        <v>49</v>
      </c>
      <c r="D8" s="3" t="s">
        <v>56</v>
      </c>
    </row>
    <row r="9" spans="2:4" ht="18" customHeight="1" x14ac:dyDescent="0.2">
      <c r="B9" s="9" t="s">
        <v>8</v>
      </c>
      <c r="C9" s="5" t="s">
        <v>50</v>
      </c>
      <c r="D9" t="s">
        <v>60</v>
      </c>
    </row>
    <row r="10" spans="2:4" ht="18" customHeight="1" x14ac:dyDescent="0.2">
      <c r="B10" s="9" t="s">
        <v>9</v>
      </c>
      <c r="C10" s="5" t="s">
        <v>51</v>
      </c>
      <c r="D10" t="s">
        <v>58</v>
      </c>
    </row>
    <row r="11" spans="2:4" ht="18" customHeight="1" x14ac:dyDescent="0.2">
      <c r="B11" s="9" t="s">
        <v>10</v>
      </c>
      <c r="C11" t="s">
        <v>52</v>
      </c>
      <c r="D11" s="5" t="s">
        <v>12</v>
      </c>
    </row>
    <row r="12" spans="2:4" ht="18" customHeight="1" thickBot="1" x14ac:dyDescent="0.25">
      <c r="B12" s="10" t="s">
        <v>11</v>
      </c>
      <c r="C12" t="s">
        <v>57</v>
      </c>
      <c r="D12" t="s">
        <v>59</v>
      </c>
    </row>
    <row r="13" spans="2:4" x14ac:dyDescent="0.2">
      <c r="C13" s="14"/>
    </row>
    <row r="14" spans="2:4" x14ac:dyDescent="0.2">
      <c r="C14" s="14"/>
    </row>
    <row r="15" spans="2:4" x14ac:dyDescent="0.2">
      <c r="C15" s="14"/>
    </row>
    <row r="16" spans="2:4" x14ac:dyDescent="0.2">
      <c r="C16" s="14"/>
    </row>
    <row r="17" spans="3:3" x14ac:dyDescent="0.2">
      <c r="C17" s="14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8"/>
  <sheetViews>
    <sheetView topLeftCell="A91" workbookViewId="0">
      <selection activeCell="E99" sqref="E99"/>
    </sheetView>
  </sheetViews>
  <sheetFormatPr defaultRowHeight="13.2" x14ac:dyDescent="0.2"/>
  <sheetData>
    <row r="1" spans="1:15" x14ac:dyDescent="0.2">
      <c r="A1" t="s">
        <v>16</v>
      </c>
    </row>
    <row r="2" spans="1:15" x14ac:dyDescent="0.2">
      <c r="A2" t="s">
        <v>15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26</v>
      </c>
    </row>
    <row r="3" spans="1:15" x14ac:dyDescent="0.2">
      <c r="A3" t="s">
        <v>19</v>
      </c>
      <c r="B3">
        <v>0.783245336808568</v>
      </c>
      <c r="C3">
        <v>0.75555026691076299</v>
      </c>
      <c r="D3">
        <v>0.75670961098369405</v>
      </c>
      <c r="E3">
        <v>0.728910115603009</v>
      </c>
      <c r="F3">
        <v>0.72034576179385501</v>
      </c>
      <c r="G3">
        <v>0.77917008528194398</v>
      </c>
      <c r="H3">
        <v>0.81397249420390105</v>
      </c>
      <c r="I3">
        <v>0.709409974492204</v>
      </c>
      <c r="J3">
        <v>0.75407200573301303</v>
      </c>
      <c r="K3">
        <v>0.77113426890836401</v>
      </c>
      <c r="L3">
        <v>0.80597602988504802</v>
      </c>
      <c r="M3">
        <f>AVERAGE(B3:D3)</f>
        <v>0.76516840490100835</v>
      </c>
      <c r="N3">
        <f>AVERAGE(J3:L3)</f>
        <v>0.77706076817547498</v>
      </c>
      <c r="O3">
        <f>TTEST(M3:M9,N3:N9,2,1)</f>
        <v>0.16264603286676468</v>
      </c>
    </row>
    <row r="4" spans="1:15" x14ac:dyDescent="0.2">
      <c r="A4" t="s">
        <v>20</v>
      </c>
      <c r="B4">
        <v>0.694415866939744</v>
      </c>
      <c r="C4">
        <v>0.68878050280838998</v>
      </c>
      <c r="D4">
        <v>0.68089503883976599</v>
      </c>
      <c r="E4">
        <v>0.474905612229645</v>
      </c>
      <c r="F4">
        <v>0.69398370705543999</v>
      </c>
      <c r="G4">
        <v>0.61497999228808398</v>
      </c>
      <c r="H4">
        <v>0.76825651266319395</v>
      </c>
      <c r="I4">
        <v>0.55500336761242897</v>
      </c>
      <c r="J4">
        <v>0.58230475009517202</v>
      </c>
      <c r="K4">
        <v>0.63670956793225797</v>
      </c>
      <c r="L4">
        <v>0.72133057105640697</v>
      </c>
      <c r="M4">
        <f t="shared" ref="M4:M9" si="0">AVERAGE(B4:D4)</f>
        <v>0.68803046952929992</v>
      </c>
      <c r="N4">
        <f t="shared" ref="N4:N9" si="1">AVERAGE(J4:L4)</f>
        <v>0.64678162969461228</v>
      </c>
    </row>
    <row r="5" spans="1:15" x14ac:dyDescent="0.2">
      <c r="A5" t="s">
        <v>21</v>
      </c>
      <c r="B5">
        <v>0.56546314498862105</v>
      </c>
      <c r="C5">
        <v>0.85154761610301499</v>
      </c>
      <c r="D5">
        <v>0.85537196319091902</v>
      </c>
      <c r="E5">
        <v>0.85464801258808798</v>
      </c>
      <c r="F5">
        <v>0.81595557196393598</v>
      </c>
      <c r="G5">
        <v>0.83209296644074005</v>
      </c>
      <c r="H5">
        <v>0.75584886489658598</v>
      </c>
      <c r="I5">
        <v>0.60922575909418997</v>
      </c>
      <c r="J5">
        <v>0.69399094482419099</v>
      </c>
      <c r="K5">
        <v>0.66754902898425605</v>
      </c>
      <c r="L5">
        <v>0.64033110074760202</v>
      </c>
      <c r="M5">
        <f t="shared" si="0"/>
        <v>0.75746090809418509</v>
      </c>
      <c r="N5">
        <f t="shared" si="1"/>
        <v>0.66729035818534965</v>
      </c>
    </row>
    <row r="6" spans="1:15" x14ac:dyDescent="0.2">
      <c r="A6" t="s">
        <v>22</v>
      </c>
      <c r="B6">
        <v>0.70967923319425597</v>
      </c>
      <c r="C6">
        <v>0.74200313678576002</v>
      </c>
      <c r="D6">
        <v>0.73729859422847099</v>
      </c>
      <c r="E6">
        <v>0.73335950667679195</v>
      </c>
      <c r="F6">
        <v>0.79698859747840101</v>
      </c>
      <c r="G6">
        <v>0.69449455953294004</v>
      </c>
      <c r="H6">
        <v>0.71301791808804504</v>
      </c>
      <c r="I6">
        <v>0.79240320149278298</v>
      </c>
      <c r="J6">
        <v>0.78571947382637997</v>
      </c>
      <c r="K6">
        <v>0.67641603585285504</v>
      </c>
      <c r="L6">
        <v>0.81724662456809005</v>
      </c>
      <c r="M6">
        <f t="shared" si="0"/>
        <v>0.72966032140282888</v>
      </c>
      <c r="N6">
        <f t="shared" si="1"/>
        <v>0.75979404474910839</v>
      </c>
    </row>
    <row r="7" spans="1:15" x14ac:dyDescent="0.2">
      <c r="A7" t="s">
        <v>23</v>
      </c>
      <c r="B7">
        <v>0.70500929545657998</v>
      </c>
      <c r="C7">
        <v>0.54257519628190498</v>
      </c>
      <c r="D7">
        <v>0.60881662369011902</v>
      </c>
      <c r="E7">
        <v>0.65751052547362598</v>
      </c>
      <c r="F7">
        <v>0.65328921348864899</v>
      </c>
      <c r="G7">
        <v>0.65038118036829196</v>
      </c>
      <c r="H7">
        <v>0.665870303246897</v>
      </c>
      <c r="I7">
        <v>0.69924059426567498</v>
      </c>
      <c r="J7">
        <v>0.71247051123062599</v>
      </c>
      <c r="K7">
        <v>0.57811238490864203</v>
      </c>
      <c r="L7">
        <v>0.67339352006675102</v>
      </c>
      <c r="M7">
        <f t="shared" si="0"/>
        <v>0.61880037180953462</v>
      </c>
      <c r="N7">
        <f t="shared" si="1"/>
        <v>0.65465880540200638</v>
      </c>
    </row>
    <row r="8" spans="1:15" x14ac:dyDescent="0.2">
      <c r="A8" t="s">
        <v>24</v>
      </c>
      <c r="B8">
        <v>0.88087879154854098</v>
      </c>
      <c r="C8">
        <v>0.884600494676686</v>
      </c>
      <c r="D8">
        <v>0.870821516719403</v>
      </c>
      <c r="E8">
        <v>0.59642677053558901</v>
      </c>
      <c r="F8">
        <v>0.327591794172583</v>
      </c>
      <c r="G8">
        <v>0.53661614826950199</v>
      </c>
      <c r="H8">
        <v>0.889110824550292</v>
      </c>
      <c r="I8">
        <v>0.31926278751847997</v>
      </c>
      <c r="J8">
        <v>0.72488548875213799</v>
      </c>
      <c r="K8">
        <v>0.59980121648155604</v>
      </c>
      <c r="L8">
        <v>0.83548308622058098</v>
      </c>
      <c r="M8">
        <f t="shared" si="0"/>
        <v>0.87876693431487674</v>
      </c>
      <c r="N8">
        <f t="shared" si="1"/>
        <v>0.72005659715142489</v>
      </c>
    </row>
    <row r="9" spans="1:15" x14ac:dyDescent="0.2">
      <c r="A9" t="s">
        <v>25</v>
      </c>
      <c r="B9">
        <v>0.77400778755339605</v>
      </c>
      <c r="C9">
        <v>0.80757609498029204</v>
      </c>
      <c r="D9">
        <v>0.75791657617080599</v>
      </c>
      <c r="E9">
        <v>0.69554776321004597</v>
      </c>
      <c r="F9">
        <v>0.56610760042671404</v>
      </c>
      <c r="G9">
        <v>0.57397154395023098</v>
      </c>
      <c r="H9">
        <v>0.73145226315173195</v>
      </c>
      <c r="I9">
        <v>0.38881416078562597</v>
      </c>
      <c r="J9">
        <v>0.72908566342061099</v>
      </c>
      <c r="K9">
        <v>0.65108841502266701</v>
      </c>
      <c r="L9">
        <v>0.646317397924286</v>
      </c>
      <c r="M9">
        <f t="shared" si="0"/>
        <v>0.7798334862348314</v>
      </c>
      <c r="N9">
        <f t="shared" si="1"/>
        <v>0.67549715878918803</v>
      </c>
    </row>
    <row r="11" spans="1:15" x14ac:dyDescent="0.2">
      <c r="A11" t="s">
        <v>17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39</v>
      </c>
      <c r="O11" t="s">
        <v>26</v>
      </c>
    </row>
    <row r="12" spans="1:15" x14ac:dyDescent="0.2">
      <c r="A12" t="s">
        <v>19</v>
      </c>
      <c r="B12">
        <v>0.80233387667961698</v>
      </c>
      <c r="C12">
        <v>0.76531989117994303</v>
      </c>
      <c r="D12">
        <v>0.72515052135320801</v>
      </c>
      <c r="E12">
        <v>0.75360607524660905</v>
      </c>
      <c r="F12">
        <v>0.788415850289234</v>
      </c>
      <c r="G12">
        <v>0.79506185310256206</v>
      </c>
      <c r="H12">
        <v>0.81742387181140597</v>
      </c>
      <c r="I12">
        <v>0.75076980535875804</v>
      </c>
      <c r="J12">
        <v>0.78467527811482096</v>
      </c>
      <c r="K12">
        <v>0.81507512516909797</v>
      </c>
      <c r="L12">
        <v>0.82196091986447495</v>
      </c>
      <c r="M12">
        <f t="shared" ref="M12:M73" si="2">AVERAGE(B12:D12)</f>
        <v>0.76426809640425597</v>
      </c>
      <c r="N12">
        <f t="shared" ref="N12:N73" si="3">AVERAGE(J12:L12)</f>
        <v>0.80723710771613133</v>
      </c>
      <c r="O12">
        <f t="shared" ref="O12:O63" si="4">TTEST(M12:M18,N12:N18,2,1)</f>
        <v>0.21526192998883201</v>
      </c>
    </row>
    <row r="13" spans="1:15" x14ac:dyDescent="0.2">
      <c r="A13" t="s">
        <v>20</v>
      </c>
      <c r="B13">
        <v>0.70618969757111905</v>
      </c>
      <c r="C13">
        <v>0.72861312123764999</v>
      </c>
      <c r="D13">
        <v>0.68432907396797904</v>
      </c>
      <c r="E13">
        <v>0.54529419546357805</v>
      </c>
      <c r="F13">
        <v>0.728776611836084</v>
      </c>
      <c r="G13">
        <v>0.69742508506590195</v>
      </c>
      <c r="H13">
        <v>0.71433448325288795</v>
      </c>
      <c r="I13">
        <v>0.64115618822751697</v>
      </c>
      <c r="J13">
        <v>0.60242546345916104</v>
      </c>
      <c r="K13">
        <v>0.67918186054146201</v>
      </c>
      <c r="L13">
        <v>0.73123321586812196</v>
      </c>
      <c r="M13">
        <f t="shared" si="2"/>
        <v>0.70637729759224932</v>
      </c>
      <c r="N13">
        <f t="shared" si="3"/>
        <v>0.67094684662291504</v>
      </c>
    </row>
    <row r="14" spans="1:15" x14ac:dyDescent="0.2">
      <c r="A14" t="s">
        <v>21</v>
      </c>
      <c r="B14">
        <v>0.327642232969723</v>
      </c>
      <c r="C14">
        <v>0.87485559182164496</v>
      </c>
      <c r="D14">
        <v>0.84109415241971197</v>
      </c>
      <c r="E14">
        <v>0.84465535009077297</v>
      </c>
      <c r="F14">
        <v>0.71841434322248798</v>
      </c>
      <c r="G14">
        <v>0.72388187072753996</v>
      </c>
      <c r="H14">
        <v>0.48380747968416798</v>
      </c>
      <c r="I14">
        <v>0.43252927783935102</v>
      </c>
      <c r="J14">
        <v>0.46995369346268301</v>
      </c>
      <c r="K14">
        <v>0.59382825983162402</v>
      </c>
      <c r="L14">
        <v>0.61651135178244598</v>
      </c>
      <c r="M14">
        <f t="shared" si="2"/>
        <v>0.68119732573702674</v>
      </c>
      <c r="N14">
        <f t="shared" si="3"/>
        <v>0.56009776835891767</v>
      </c>
    </row>
    <row r="15" spans="1:15" x14ac:dyDescent="0.2">
      <c r="A15" t="s">
        <v>22</v>
      </c>
      <c r="B15">
        <v>0.71910609022026095</v>
      </c>
      <c r="C15">
        <v>0.72037809342195502</v>
      </c>
      <c r="D15">
        <v>0.72139205739892198</v>
      </c>
      <c r="E15">
        <v>0.71681308065285398</v>
      </c>
      <c r="F15">
        <v>0.79327449643329795</v>
      </c>
      <c r="G15">
        <v>0.71287747346673402</v>
      </c>
      <c r="H15">
        <v>0.71605353709979103</v>
      </c>
      <c r="I15">
        <v>0.80285020834199505</v>
      </c>
      <c r="J15">
        <v>0.76458461070800898</v>
      </c>
      <c r="K15">
        <v>0.68266850548083802</v>
      </c>
      <c r="L15">
        <v>0.79446021865607197</v>
      </c>
      <c r="M15">
        <f t="shared" si="2"/>
        <v>0.72029208034704595</v>
      </c>
      <c r="N15">
        <f t="shared" si="3"/>
        <v>0.74723777828163962</v>
      </c>
    </row>
    <row r="16" spans="1:15" x14ac:dyDescent="0.2">
      <c r="A16" t="s">
        <v>23</v>
      </c>
      <c r="B16">
        <v>0.687629221407413</v>
      </c>
      <c r="C16">
        <v>0.58868616575267896</v>
      </c>
      <c r="D16">
        <v>0.65553083135449097</v>
      </c>
      <c r="E16">
        <v>0.65170478597334902</v>
      </c>
      <c r="F16">
        <v>0.66909865604920804</v>
      </c>
      <c r="G16">
        <v>0.66127592727709605</v>
      </c>
      <c r="H16">
        <v>0.64135979145961097</v>
      </c>
      <c r="I16">
        <v>0.69716252880663199</v>
      </c>
      <c r="J16">
        <v>0.74170066070588803</v>
      </c>
      <c r="K16">
        <v>0.57572497091888197</v>
      </c>
      <c r="L16">
        <v>0.67435493018081205</v>
      </c>
      <c r="M16">
        <f t="shared" si="2"/>
        <v>0.64394873950486098</v>
      </c>
      <c r="N16">
        <f t="shared" si="3"/>
        <v>0.66392685393519402</v>
      </c>
    </row>
    <row r="17" spans="1:15" x14ac:dyDescent="0.2">
      <c r="A17" t="s">
        <v>24</v>
      </c>
      <c r="B17">
        <v>0.85076264636337395</v>
      </c>
      <c r="C17">
        <v>0.86842821003216897</v>
      </c>
      <c r="D17">
        <v>0.81302215574214798</v>
      </c>
      <c r="E17">
        <v>0.61837107517788403</v>
      </c>
      <c r="F17">
        <v>0.35835149948255601</v>
      </c>
      <c r="G17">
        <v>0.53524228885903402</v>
      </c>
      <c r="H17">
        <v>0.87759152964150799</v>
      </c>
      <c r="I17">
        <v>0.323244151583648</v>
      </c>
      <c r="J17">
        <v>0.70704682250704298</v>
      </c>
      <c r="K17">
        <v>0.62451053496724196</v>
      </c>
      <c r="L17">
        <v>0.824785584066275</v>
      </c>
      <c r="M17">
        <f t="shared" si="2"/>
        <v>0.84407100404589697</v>
      </c>
      <c r="N17">
        <f t="shared" si="3"/>
        <v>0.71878098051351991</v>
      </c>
    </row>
    <row r="18" spans="1:15" x14ac:dyDescent="0.2">
      <c r="A18" t="s">
        <v>25</v>
      </c>
      <c r="B18">
        <v>0.72748622285638898</v>
      </c>
      <c r="C18">
        <v>0.79451050525386002</v>
      </c>
      <c r="D18">
        <v>0.69060411853834802</v>
      </c>
      <c r="E18">
        <v>0.63689984827503998</v>
      </c>
      <c r="F18">
        <v>0.63506372070161798</v>
      </c>
      <c r="G18">
        <v>0.615634606722537</v>
      </c>
      <c r="H18">
        <v>0.73940796289550403</v>
      </c>
      <c r="I18">
        <v>0.70530204205880098</v>
      </c>
      <c r="J18">
        <v>0.75680674369177603</v>
      </c>
      <c r="K18">
        <v>0.67030923815230004</v>
      </c>
      <c r="L18">
        <v>0.59220775862069197</v>
      </c>
      <c r="M18">
        <f t="shared" si="2"/>
        <v>0.73753361554953234</v>
      </c>
      <c r="N18">
        <f t="shared" si="3"/>
        <v>0.67310791348825594</v>
      </c>
    </row>
    <row r="21" spans="1:15" x14ac:dyDescent="0.2">
      <c r="A21" t="s">
        <v>18</v>
      </c>
    </row>
    <row r="22" spans="1:15" x14ac:dyDescent="0.2">
      <c r="A22" t="s">
        <v>15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39</v>
      </c>
      <c r="O22" t="s">
        <v>26</v>
      </c>
    </row>
    <row r="23" spans="1:15" x14ac:dyDescent="0.2">
      <c r="A23" t="s">
        <v>19</v>
      </c>
      <c r="B23">
        <v>0.216754663191432</v>
      </c>
      <c r="C23">
        <v>0.24444973308923801</v>
      </c>
      <c r="D23">
        <v>0.24329038901630601</v>
      </c>
      <c r="E23">
        <v>0.271089884396991</v>
      </c>
      <c r="F23">
        <v>0.27965423820614499</v>
      </c>
      <c r="G23">
        <v>0.22082991471805599</v>
      </c>
      <c r="H23">
        <v>0.186027505796099</v>
      </c>
      <c r="I23">
        <v>0.290590025507796</v>
      </c>
      <c r="J23">
        <v>0.245927994266987</v>
      </c>
      <c r="K23">
        <v>0.22886573109163599</v>
      </c>
      <c r="L23">
        <v>0.19402397011495201</v>
      </c>
      <c r="M23">
        <f t="shared" si="2"/>
        <v>0.23483159509899201</v>
      </c>
      <c r="N23">
        <f t="shared" si="3"/>
        <v>0.22293923182452499</v>
      </c>
      <c r="O23">
        <f t="shared" si="4"/>
        <v>0.1626460328667636</v>
      </c>
    </row>
    <row r="24" spans="1:15" x14ac:dyDescent="0.2">
      <c r="A24" t="s">
        <v>20</v>
      </c>
      <c r="B24">
        <v>0.305584133060256</v>
      </c>
      <c r="C24">
        <v>0.31121949719161002</v>
      </c>
      <c r="D24">
        <v>0.31910496116023401</v>
      </c>
      <c r="E24">
        <v>0.525094387770355</v>
      </c>
      <c r="F24">
        <v>0.30601629294456001</v>
      </c>
      <c r="G24">
        <v>0.38502000771191602</v>
      </c>
      <c r="H24">
        <v>0.231743487336806</v>
      </c>
      <c r="I24">
        <v>0.44499663238757098</v>
      </c>
      <c r="J24">
        <v>0.41769524990482798</v>
      </c>
      <c r="K24">
        <v>0.36329043206774198</v>
      </c>
      <c r="L24">
        <v>0.27866942894359298</v>
      </c>
      <c r="M24">
        <f t="shared" si="2"/>
        <v>0.31196953047070003</v>
      </c>
      <c r="N24">
        <f t="shared" si="3"/>
        <v>0.35321837030538766</v>
      </c>
    </row>
    <row r="25" spans="1:15" x14ac:dyDescent="0.2">
      <c r="A25" t="s">
        <v>21</v>
      </c>
      <c r="B25">
        <v>0.43453685501137901</v>
      </c>
      <c r="C25">
        <v>0.14845238389698501</v>
      </c>
      <c r="D25">
        <v>0.14462803680908201</v>
      </c>
      <c r="E25">
        <v>0.14535198741191199</v>
      </c>
      <c r="F25">
        <v>0.184044428036064</v>
      </c>
      <c r="G25">
        <v>0.16790703355926001</v>
      </c>
      <c r="H25">
        <v>0.24415113510341399</v>
      </c>
      <c r="I25">
        <v>0.39077424090580998</v>
      </c>
      <c r="J25">
        <v>0.30600905517580901</v>
      </c>
      <c r="K25">
        <v>0.332450971015744</v>
      </c>
      <c r="L25">
        <v>0.35966889925239798</v>
      </c>
      <c r="M25">
        <f t="shared" si="2"/>
        <v>0.24253909190581532</v>
      </c>
      <c r="N25">
        <f t="shared" si="3"/>
        <v>0.33270964181465029</v>
      </c>
    </row>
    <row r="26" spans="1:15" x14ac:dyDescent="0.2">
      <c r="A26" t="s">
        <v>22</v>
      </c>
      <c r="B26">
        <v>0.29032076680574398</v>
      </c>
      <c r="C26">
        <v>0.25799686321423998</v>
      </c>
      <c r="D26">
        <v>0.26270140577152901</v>
      </c>
      <c r="E26">
        <v>0.26664049332320799</v>
      </c>
      <c r="F26">
        <v>0.20301140252159899</v>
      </c>
      <c r="G26">
        <v>0.30550544046706002</v>
      </c>
      <c r="H26">
        <v>0.28698208191195501</v>
      </c>
      <c r="I26">
        <v>0.20759679850721699</v>
      </c>
      <c r="J26">
        <v>0.21428052617362001</v>
      </c>
      <c r="K26">
        <v>0.32358396414714502</v>
      </c>
      <c r="L26">
        <v>0.182753375431911</v>
      </c>
      <c r="M26">
        <f t="shared" si="2"/>
        <v>0.27033967859717095</v>
      </c>
      <c r="N26">
        <f t="shared" si="3"/>
        <v>0.24020595525089203</v>
      </c>
    </row>
    <row r="27" spans="1:15" x14ac:dyDescent="0.2">
      <c r="A27" t="s">
        <v>23</v>
      </c>
      <c r="B27">
        <v>0.29499070454342002</v>
      </c>
      <c r="C27">
        <v>0.45742480371809502</v>
      </c>
      <c r="D27">
        <v>0.39118337630988098</v>
      </c>
      <c r="E27">
        <v>0.34248947452637402</v>
      </c>
      <c r="F27">
        <v>0.34671078651135101</v>
      </c>
      <c r="G27">
        <v>0.34961881963170799</v>
      </c>
      <c r="H27">
        <v>0.334129696753103</v>
      </c>
      <c r="I27">
        <v>0.30075940573432502</v>
      </c>
      <c r="J27">
        <v>0.28752948876937401</v>
      </c>
      <c r="K27">
        <v>0.42188761509135803</v>
      </c>
      <c r="L27">
        <v>0.32660647993324898</v>
      </c>
      <c r="M27">
        <f t="shared" si="2"/>
        <v>0.38119962819046532</v>
      </c>
      <c r="N27">
        <f t="shared" si="3"/>
        <v>0.34534119459799362</v>
      </c>
    </row>
    <row r="28" spans="1:15" x14ac:dyDescent="0.2">
      <c r="A28" t="s">
        <v>24</v>
      </c>
      <c r="B28">
        <v>0.119121208451459</v>
      </c>
      <c r="C28">
        <v>0.115399505323314</v>
      </c>
      <c r="D28">
        <v>0.129178483280597</v>
      </c>
      <c r="E28">
        <v>0.40357322946441099</v>
      </c>
      <c r="F28">
        <v>0.672408205827417</v>
      </c>
      <c r="G28">
        <v>0.46338385173049801</v>
      </c>
      <c r="H28">
        <v>0.110889175449708</v>
      </c>
      <c r="I28">
        <v>0.68073721248151997</v>
      </c>
      <c r="J28">
        <v>0.27511451124786201</v>
      </c>
      <c r="K28">
        <v>0.40019878351844401</v>
      </c>
      <c r="L28">
        <v>0.16451691377941999</v>
      </c>
      <c r="M28">
        <f t="shared" si="2"/>
        <v>0.12123306568512333</v>
      </c>
      <c r="N28">
        <f t="shared" si="3"/>
        <v>0.27994340284857538</v>
      </c>
    </row>
    <row r="29" spans="1:15" x14ac:dyDescent="0.2">
      <c r="A29" t="s">
        <v>25</v>
      </c>
      <c r="B29">
        <v>0.225992212446604</v>
      </c>
      <c r="C29">
        <v>0.19242390501970799</v>
      </c>
      <c r="D29">
        <v>0.24208342382919401</v>
      </c>
      <c r="E29">
        <v>0.30445223678995498</v>
      </c>
      <c r="F29">
        <v>0.43389239957328601</v>
      </c>
      <c r="G29">
        <v>0.42602845604976902</v>
      </c>
      <c r="H29">
        <v>0.26854773684826799</v>
      </c>
      <c r="I29">
        <v>0.61118583921437397</v>
      </c>
      <c r="J29">
        <v>0.27091433657938901</v>
      </c>
      <c r="K29">
        <v>0.34891158497733299</v>
      </c>
      <c r="L29">
        <v>0.353682602075714</v>
      </c>
      <c r="M29">
        <f t="shared" si="2"/>
        <v>0.22016651376516869</v>
      </c>
      <c r="N29">
        <f t="shared" si="3"/>
        <v>0.32450284121081202</v>
      </c>
    </row>
    <row r="31" spans="1:15" x14ac:dyDescent="0.2">
      <c r="A31" t="s">
        <v>17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39</v>
      </c>
      <c r="O31" t="s">
        <v>26</v>
      </c>
    </row>
    <row r="32" spans="1:15" x14ac:dyDescent="0.2">
      <c r="A32" t="s">
        <v>19</v>
      </c>
      <c r="B32">
        <v>0.197666123320383</v>
      </c>
      <c r="C32">
        <v>0.23468010882005699</v>
      </c>
      <c r="D32">
        <v>0.27484947864679299</v>
      </c>
      <c r="E32">
        <v>0.246393924753391</v>
      </c>
      <c r="F32">
        <v>0.211584149710766</v>
      </c>
      <c r="G32">
        <v>0.204938146897438</v>
      </c>
      <c r="H32">
        <v>0.18257612818859401</v>
      </c>
      <c r="I32">
        <v>0.24923019464124199</v>
      </c>
      <c r="J32">
        <v>0.21532472188517901</v>
      </c>
      <c r="K32">
        <v>0.184924874830902</v>
      </c>
      <c r="L32">
        <v>0.178039080135526</v>
      </c>
      <c r="M32">
        <f t="shared" si="2"/>
        <v>0.23573190359574434</v>
      </c>
      <c r="N32">
        <f t="shared" si="3"/>
        <v>0.192762892283869</v>
      </c>
      <c r="O32">
        <f t="shared" si="4"/>
        <v>0.21526192998883242</v>
      </c>
    </row>
    <row r="33" spans="1:15" x14ac:dyDescent="0.2">
      <c r="A33" t="s">
        <v>20</v>
      </c>
      <c r="B33">
        <v>0.29381030242888101</v>
      </c>
      <c r="C33">
        <v>0.27138687876235001</v>
      </c>
      <c r="D33">
        <v>0.31567092603202102</v>
      </c>
      <c r="E33">
        <v>0.45470580453642201</v>
      </c>
      <c r="F33">
        <v>0.271223388163916</v>
      </c>
      <c r="G33">
        <v>0.30257491493409799</v>
      </c>
      <c r="H33">
        <v>0.28566551674711199</v>
      </c>
      <c r="I33">
        <v>0.35884381177248298</v>
      </c>
      <c r="J33">
        <v>0.39757453654083902</v>
      </c>
      <c r="K33">
        <v>0.32081813945853899</v>
      </c>
      <c r="L33">
        <v>0.26876678413187799</v>
      </c>
      <c r="M33">
        <f t="shared" si="2"/>
        <v>0.29362270240775068</v>
      </c>
      <c r="N33">
        <f t="shared" si="3"/>
        <v>0.32905315337708529</v>
      </c>
    </row>
    <row r="34" spans="1:15" x14ac:dyDescent="0.2">
      <c r="A34" t="s">
        <v>21</v>
      </c>
      <c r="B34">
        <v>0.67235776703027705</v>
      </c>
      <c r="C34">
        <v>0.12514440817835501</v>
      </c>
      <c r="D34">
        <v>0.158905847580288</v>
      </c>
      <c r="E34">
        <v>0.155344649909227</v>
      </c>
      <c r="F34">
        <v>0.28158565677751202</v>
      </c>
      <c r="G34">
        <v>0.27611812927245999</v>
      </c>
      <c r="H34">
        <v>0.51619252031583196</v>
      </c>
      <c r="I34">
        <v>0.56747072216064898</v>
      </c>
      <c r="J34">
        <v>0.53004630653731699</v>
      </c>
      <c r="K34">
        <v>0.40617174016837598</v>
      </c>
      <c r="L34">
        <v>0.38348864821755502</v>
      </c>
      <c r="M34">
        <f t="shared" si="2"/>
        <v>0.31880267426297337</v>
      </c>
      <c r="N34">
        <f t="shared" si="3"/>
        <v>0.43990223164108261</v>
      </c>
    </row>
    <row r="35" spans="1:15" x14ac:dyDescent="0.2">
      <c r="A35" t="s">
        <v>22</v>
      </c>
      <c r="B35">
        <v>0.28089390977973899</v>
      </c>
      <c r="C35">
        <v>0.27962190657804598</v>
      </c>
      <c r="D35">
        <v>0.27860794260107802</v>
      </c>
      <c r="E35">
        <v>0.28318691934714602</v>
      </c>
      <c r="F35">
        <v>0.206725503566702</v>
      </c>
      <c r="G35">
        <v>0.28712252653326698</v>
      </c>
      <c r="H35">
        <v>0.28394646290020897</v>
      </c>
      <c r="I35">
        <v>0.197149791658005</v>
      </c>
      <c r="J35">
        <v>0.23541538929199099</v>
      </c>
      <c r="K35">
        <v>0.31733149451916298</v>
      </c>
      <c r="L35">
        <v>0.205539781343928</v>
      </c>
      <c r="M35">
        <f t="shared" si="2"/>
        <v>0.27970791965295433</v>
      </c>
      <c r="N35">
        <f t="shared" si="3"/>
        <v>0.25276222171836066</v>
      </c>
    </row>
    <row r="36" spans="1:15" x14ac:dyDescent="0.2">
      <c r="A36" t="s">
        <v>23</v>
      </c>
      <c r="B36">
        <v>0.312370778592587</v>
      </c>
      <c r="C36">
        <v>0.41131383424732199</v>
      </c>
      <c r="D36">
        <v>0.34446916864550903</v>
      </c>
      <c r="E36">
        <v>0.34829521402665098</v>
      </c>
      <c r="F36">
        <v>0.33090134395079202</v>
      </c>
      <c r="G36">
        <v>0.338724072722904</v>
      </c>
      <c r="H36">
        <v>0.35864020854038903</v>
      </c>
      <c r="I36">
        <v>0.30283747119336801</v>
      </c>
      <c r="J36">
        <v>0.25829933929411197</v>
      </c>
      <c r="K36">
        <v>0.42427502908111803</v>
      </c>
      <c r="L36">
        <v>0.325645069819188</v>
      </c>
      <c r="M36">
        <f t="shared" si="2"/>
        <v>0.35605126049513935</v>
      </c>
      <c r="N36">
        <f t="shared" si="3"/>
        <v>0.33607314606480604</v>
      </c>
    </row>
    <row r="37" spans="1:15" x14ac:dyDescent="0.2">
      <c r="A37" t="s">
        <v>24</v>
      </c>
      <c r="B37">
        <v>0.14923735363662599</v>
      </c>
      <c r="C37">
        <v>0.131571789967831</v>
      </c>
      <c r="D37">
        <v>0.18697784425785199</v>
      </c>
      <c r="E37">
        <v>0.38162892482211602</v>
      </c>
      <c r="F37">
        <v>0.64164850051744404</v>
      </c>
      <c r="G37">
        <v>0.46475771114096598</v>
      </c>
      <c r="H37">
        <v>0.12240847035849201</v>
      </c>
      <c r="I37">
        <v>0.67675584841635195</v>
      </c>
      <c r="J37">
        <v>0.29295317749295702</v>
      </c>
      <c r="K37">
        <v>0.37548946503275799</v>
      </c>
      <c r="L37">
        <v>0.175214415933725</v>
      </c>
      <c r="M37">
        <f t="shared" si="2"/>
        <v>0.15592899595410301</v>
      </c>
      <c r="N37">
        <f t="shared" si="3"/>
        <v>0.28121901948648004</v>
      </c>
    </row>
    <row r="38" spans="1:15" x14ac:dyDescent="0.2">
      <c r="A38" t="s">
        <v>25</v>
      </c>
      <c r="B38">
        <v>0.27251377714361102</v>
      </c>
      <c r="C38">
        <v>0.20548949474614001</v>
      </c>
      <c r="D38">
        <v>0.30939588146165198</v>
      </c>
      <c r="E38">
        <v>0.36310015172496102</v>
      </c>
      <c r="F38">
        <v>0.36493627929838202</v>
      </c>
      <c r="G38">
        <v>0.384365393277463</v>
      </c>
      <c r="H38">
        <v>0.26059203710449602</v>
      </c>
      <c r="I38">
        <v>0.29469795794119902</v>
      </c>
      <c r="J38">
        <v>0.243193256308224</v>
      </c>
      <c r="K38">
        <v>0.32969076184770002</v>
      </c>
      <c r="L38">
        <v>0.40779224137930797</v>
      </c>
      <c r="M38">
        <f t="shared" si="2"/>
        <v>0.26246638445046766</v>
      </c>
      <c r="N38">
        <f t="shared" si="3"/>
        <v>0.32689208651174401</v>
      </c>
    </row>
    <row r="41" spans="1:15" x14ac:dyDescent="0.2">
      <c r="A41" t="s">
        <v>40</v>
      </c>
    </row>
    <row r="42" spans="1:15" x14ac:dyDescent="0.2">
      <c r="A42" t="s">
        <v>15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 t="s">
        <v>34</v>
      </c>
      <c r="J42" t="s">
        <v>35</v>
      </c>
      <c r="K42" t="s">
        <v>36</v>
      </c>
      <c r="L42" t="s">
        <v>37</v>
      </c>
      <c r="M42" t="s">
        <v>38</v>
      </c>
      <c r="N42" t="s">
        <v>39</v>
      </c>
      <c r="O42" t="s">
        <v>26</v>
      </c>
    </row>
    <row r="43" spans="1:15" x14ac:dyDescent="0.2">
      <c r="A43" t="s">
        <v>19</v>
      </c>
      <c r="B43">
        <v>0.991124260196516</v>
      </c>
      <c r="C43">
        <v>0.98939253775299996</v>
      </c>
      <c r="D43">
        <v>0.98190566929336898</v>
      </c>
      <c r="E43">
        <v>0.99015665215067405</v>
      </c>
      <c r="F43">
        <v>0.96812266760807397</v>
      </c>
      <c r="G43">
        <v>0.99089956389425904</v>
      </c>
      <c r="H43">
        <v>0.98968464811710499</v>
      </c>
      <c r="I43">
        <v>0.98307272178395999</v>
      </c>
      <c r="J43">
        <v>0.90792636139619298</v>
      </c>
      <c r="K43">
        <v>0.90105931693338404</v>
      </c>
      <c r="L43">
        <v>0.99092819411903499</v>
      </c>
      <c r="M43">
        <f t="shared" si="2"/>
        <v>0.98747415574762831</v>
      </c>
      <c r="N43">
        <f t="shared" si="3"/>
        <v>0.93330462414953741</v>
      </c>
      <c r="O43">
        <f t="shared" si="4"/>
        <v>3.4062876388926869E-2</v>
      </c>
    </row>
    <row r="44" spans="1:15" x14ac:dyDescent="0.2">
      <c r="A44" t="s">
        <v>20</v>
      </c>
      <c r="B44">
        <v>0.84082379213529801</v>
      </c>
      <c r="C44">
        <v>0.772956078128475</v>
      </c>
      <c r="D44">
        <v>0.78968018585279498</v>
      </c>
      <c r="E44">
        <v>0.51961115282721204</v>
      </c>
      <c r="F44">
        <v>0.80331038463891302</v>
      </c>
      <c r="G44">
        <v>0.61899569473506899</v>
      </c>
      <c r="H44">
        <v>0.82481983096367095</v>
      </c>
      <c r="I44">
        <v>0.48381540985486199</v>
      </c>
      <c r="J44">
        <v>0.62497443470428404</v>
      </c>
      <c r="K44">
        <v>0.66147544594301799</v>
      </c>
      <c r="L44">
        <v>0.81445815648676101</v>
      </c>
      <c r="M44">
        <f t="shared" si="2"/>
        <v>0.80115335203885607</v>
      </c>
      <c r="N44">
        <f t="shared" si="3"/>
        <v>0.70030267904468768</v>
      </c>
    </row>
    <row r="45" spans="1:15" x14ac:dyDescent="0.2">
      <c r="A45" t="s">
        <v>21</v>
      </c>
      <c r="B45">
        <v>0.661159529659615</v>
      </c>
      <c r="C45">
        <v>0.96552513439661203</v>
      </c>
      <c r="D45">
        <v>0.96308319315178703</v>
      </c>
      <c r="E45">
        <v>0.97200852788700998</v>
      </c>
      <c r="F45">
        <v>0.92817663266839201</v>
      </c>
      <c r="G45">
        <v>0.93604547549424899</v>
      </c>
      <c r="H45">
        <v>0.82708795175685001</v>
      </c>
      <c r="I45">
        <v>0.677191808487144</v>
      </c>
      <c r="J45">
        <v>0.80495284024001201</v>
      </c>
      <c r="K45">
        <v>0.83494778208735398</v>
      </c>
      <c r="L45">
        <v>0.79855233666663605</v>
      </c>
      <c r="M45">
        <f t="shared" si="2"/>
        <v>0.86325595240267139</v>
      </c>
      <c r="N45">
        <f t="shared" si="3"/>
        <v>0.81281765299800079</v>
      </c>
    </row>
    <row r="46" spans="1:15" x14ac:dyDescent="0.2">
      <c r="A46" t="s">
        <v>22</v>
      </c>
      <c r="B46">
        <v>0.95768580399822301</v>
      </c>
      <c r="C46">
        <v>0.96394147596983704</v>
      </c>
      <c r="D46">
        <v>0.96024924357421804</v>
      </c>
      <c r="E46">
        <v>0.97329283798245902</v>
      </c>
      <c r="F46">
        <v>0.94458655486034504</v>
      </c>
      <c r="G46">
        <v>0.84206588489541001</v>
      </c>
      <c r="H46">
        <v>0.97355675212460902</v>
      </c>
      <c r="I46">
        <v>0.97799275345410297</v>
      </c>
      <c r="J46">
        <v>0.98326149945845798</v>
      </c>
      <c r="K46">
        <v>0.81044630056987099</v>
      </c>
      <c r="L46">
        <v>0.98481582820534597</v>
      </c>
      <c r="M46">
        <f t="shared" si="2"/>
        <v>0.96062550784742606</v>
      </c>
      <c r="N46">
        <f t="shared" si="3"/>
        <v>0.92617454274455824</v>
      </c>
    </row>
    <row r="47" spans="1:15" x14ac:dyDescent="0.2">
      <c r="A47" t="s">
        <v>23</v>
      </c>
      <c r="B47">
        <v>0.94507004239603898</v>
      </c>
      <c r="C47">
        <v>0.77199668662239396</v>
      </c>
      <c r="D47">
        <v>0.82660525901339998</v>
      </c>
      <c r="E47">
        <v>0.94791773693981096</v>
      </c>
      <c r="F47">
        <v>0.90879274849206004</v>
      </c>
      <c r="G47">
        <v>0.93511485584947995</v>
      </c>
      <c r="H47">
        <v>0.94138554289403598</v>
      </c>
      <c r="I47">
        <v>0.95750208678078297</v>
      </c>
      <c r="J47">
        <v>0.95708954159911497</v>
      </c>
      <c r="K47">
        <v>0.71568670981011095</v>
      </c>
      <c r="L47">
        <v>0.95438710562968099</v>
      </c>
      <c r="M47">
        <f t="shared" si="2"/>
        <v>0.84789066267727764</v>
      </c>
      <c r="N47">
        <f t="shared" si="3"/>
        <v>0.8757211190129689</v>
      </c>
    </row>
    <row r="48" spans="1:15" x14ac:dyDescent="0.2">
      <c r="A48" t="s">
        <v>24</v>
      </c>
      <c r="B48">
        <v>0.973904988033234</v>
      </c>
      <c r="C48">
        <v>0.97379212953993499</v>
      </c>
      <c r="D48">
        <v>0.91463391352776102</v>
      </c>
      <c r="E48">
        <v>0.69454384556063198</v>
      </c>
      <c r="F48">
        <v>0.48822040077044099</v>
      </c>
      <c r="G48">
        <v>0.69551999709954504</v>
      </c>
      <c r="H48">
        <v>0.962043206184928</v>
      </c>
      <c r="I48">
        <v>0.55054746744531902</v>
      </c>
      <c r="J48">
        <v>0.78980162091644601</v>
      </c>
      <c r="K48">
        <v>0.81873925406298498</v>
      </c>
      <c r="L48">
        <v>0.93496982132654205</v>
      </c>
      <c r="M48">
        <f t="shared" si="2"/>
        <v>0.95411034370031</v>
      </c>
      <c r="N48">
        <f t="shared" si="3"/>
        <v>0.84783689876865775</v>
      </c>
    </row>
    <row r="49" spans="1:15" x14ac:dyDescent="0.2">
      <c r="A49" t="s">
        <v>25</v>
      </c>
      <c r="B49">
        <v>0.86310660294947406</v>
      </c>
      <c r="C49">
        <v>0.90427261877001497</v>
      </c>
      <c r="D49">
        <v>0.79431168754160297</v>
      </c>
      <c r="E49">
        <v>0.79858151595906601</v>
      </c>
      <c r="F49">
        <v>0.60657755447945805</v>
      </c>
      <c r="G49">
        <v>0.472998501341441</v>
      </c>
      <c r="H49">
        <v>0.792127187930597</v>
      </c>
      <c r="I49">
        <v>0.43108228590353298</v>
      </c>
      <c r="J49">
        <v>0.66099618990891895</v>
      </c>
      <c r="K49">
        <v>0.72082296355156095</v>
      </c>
      <c r="L49">
        <v>0.57275591440929696</v>
      </c>
      <c r="M49">
        <f t="shared" si="2"/>
        <v>0.85389696975369722</v>
      </c>
      <c r="N49">
        <f t="shared" si="3"/>
        <v>0.65152502262325906</v>
      </c>
    </row>
    <row r="51" spans="1:15" x14ac:dyDescent="0.2">
      <c r="A51" t="s">
        <v>17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 t="s">
        <v>34</v>
      </c>
      <c r="J51" t="s">
        <v>35</v>
      </c>
      <c r="K51" t="s">
        <v>36</v>
      </c>
      <c r="L51" t="s">
        <v>37</v>
      </c>
      <c r="M51" t="s">
        <v>38</v>
      </c>
      <c r="N51" t="s">
        <v>39</v>
      </c>
      <c r="O51" t="s">
        <v>26</v>
      </c>
    </row>
    <row r="52" spans="1:15" x14ac:dyDescent="0.2">
      <c r="A52" t="s">
        <v>19</v>
      </c>
      <c r="B52">
        <v>0.990115517950657</v>
      </c>
      <c r="C52">
        <v>0.97848325844463302</v>
      </c>
      <c r="D52">
        <v>0.91480519811686101</v>
      </c>
      <c r="E52">
        <v>0.97810013563603604</v>
      </c>
      <c r="F52">
        <v>0.97471791610091396</v>
      </c>
      <c r="G52">
        <v>0.98811382323317498</v>
      </c>
      <c r="H52">
        <v>0.98197567919548701</v>
      </c>
      <c r="I52">
        <v>0.96351489309209604</v>
      </c>
      <c r="J52">
        <v>0.93024135951619602</v>
      </c>
      <c r="K52">
        <v>0.94494321295860095</v>
      </c>
      <c r="L52">
        <v>0.98512809275362001</v>
      </c>
      <c r="M52">
        <f t="shared" si="2"/>
        <v>0.96113465817071697</v>
      </c>
      <c r="N52">
        <f t="shared" si="3"/>
        <v>0.95343755507613892</v>
      </c>
      <c r="O52">
        <f t="shared" si="4"/>
        <v>3.2218360663327499E-2</v>
      </c>
    </row>
    <row r="53" spans="1:15" x14ac:dyDescent="0.2">
      <c r="A53" t="s">
        <v>20</v>
      </c>
      <c r="B53">
        <v>0.85355870326108096</v>
      </c>
      <c r="C53">
        <v>0.81879297461967404</v>
      </c>
      <c r="D53">
        <v>0.76990918244187501</v>
      </c>
      <c r="E53">
        <v>0.54923587124180795</v>
      </c>
      <c r="F53">
        <v>0.80240046670274001</v>
      </c>
      <c r="G53">
        <v>0.69418604828383101</v>
      </c>
      <c r="H53">
        <v>0.73131001383866601</v>
      </c>
      <c r="I53">
        <v>0.65097148249222203</v>
      </c>
      <c r="J53">
        <v>0.62280035672853495</v>
      </c>
      <c r="K53">
        <v>0.76180374939539797</v>
      </c>
      <c r="L53">
        <v>0.80702643766152404</v>
      </c>
      <c r="M53">
        <f t="shared" si="2"/>
        <v>0.81408695344087667</v>
      </c>
      <c r="N53">
        <f t="shared" si="3"/>
        <v>0.73054351459515232</v>
      </c>
    </row>
    <row r="54" spans="1:15" x14ac:dyDescent="0.2">
      <c r="A54" t="s">
        <v>21</v>
      </c>
      <c r="B54">
        <v>0.41382974565813002</v>
      </c>
      <c r="C54">
        <v>0.96766506813345798</v>
      </c>
      <c r="D54">
        <v>0.94179321522509496</v>
      </c>
      <c r="E54">
        <v>0.95551305102095296</v>
      </c>
      <c r="F54">
        <v>0.780134185097073</v>
      </c>
      <c r="G54">
        <v>0.82610249111922696</v>
      </c>
      <c r="H54">
        <v>0.54402750054150795</v>
      </c>
      <c r="I54">
        <v>0.53163810728822103</v>
      </c>
      <c r="J54">
        <v>0.582091813978039</v>
      </c>
      <c r="K54">
        <v>0.77379179315092195</v>
      </c>
      <c r="L54">
        <v>0.76776512577323897</v>
      </c>
      <c r="M54">
        <f t="shared" si="2"/>
        <v>0.77442934300556099</v>
      </c>
      <c r="N54">
        <f t="shared" si="3"/>
        <v>0.70788291096739986</v>
      </c>
    </row>
    <row r="55" spans="1:15" x14ac:dyDescent="0.2">
      <c r="A55" t="s">
        <v>22</v>
      </c>
      <c r="B55">
        <v>0.95904780651979205</v>
      </c>
      <c r="C55">
        <v>0.95950103034570899</v>
      </c>
      <c r="D55">
        <v>0.90359077664072496</v>
      </c>
      <c r="E55">
        <v>0.97011625355561903</v>
      </c>
      <c r="F55">
        <v>0.98038750019722098</v>
      </c>
      <c r="G55">
        <v>0.89112728497753602</v>
      </c>
      <c r="H55">
        <v>0.97312385457941197</v>
      </c>
      <c r="I55">
        <v>0.97934717051179798</v>
      </c>
      <c r="J55">
        <v>0.97378822884737604</v>
      </c>
      <c r="K55">
        <v>0.82639727795800699</v>
      </c>
      <c r="L55">
        <v>0.98304146525608505</v>
      </c>
      <c r="M55">
        <f t="shared" si="2"/>
        <v>0.94071320450207541</v>
      </c>
      <c r="N55">
        <f t="shared" si="3"/>
        <v>0.92774232402048928</v>
      </c>
    </row>
    <row r="56" spans="1:15" x14ac:dyDescent="0.2">
      <c r="A56" t="s">
        <v>23</v>
      </c>
      <c r="B56">
        <v>0.91365763792196697</v>
      </c>
      <c r="C56">
        <v>0.80158279400515298</v>
      </c>
      <c r="D56">
        <v>0.87423314939780805</v>
      </c>
      <c r="E56">
        <v>0.93520573224615799</v>
      </c>
      <c r="F56">
        <v>0.91446007416724995</v>
      </c>
      <c r="G56">
        <v>0.95064503507140696</v>
      </c>
      <c r="H56">
        <v>0.94238980049639998</v>
      </c>
      <c r="I56">
        <v>0.94520706243057595</v>
      </c>
      <c r="J56">
        <v>0.96576551663864996</v>
      </c>
      <c r="K56">
        <v>0.70255831768034605</v>
      </c>
      <c r="L56">
        <v>0.95404696595071004</v>
      </c>
      <c r="M56">
        <f t="shared" si="2"/>
        <v>0.86315786044164267</v>
      </c>
      <c r="N56">
        <f t="shared" si="3"/>
        <v>0.87412360008990209</v>
      </c>
    </row>
    <row r="57" spans="1:15" x14ac:dyDescent="0.2">
      <c r="A57" t="s">
        <v>24</v>
      </c>
      <c r="B57">
        <v>0.96368544398367595</v>
      </c>
      <c r="C57">
        <v>0.96050821278543996</v>
      </c>
      <c r="D57">
        <v>0.806114703273896</v>
      </c>
      <c r="E57">
        <v>0.71613822136599803</v>
      </c>
      <c r="F57">
        <v>0.508822813136379</v>
      </c>
      <c r="G57">
        <v>0.66615680898543495</v>
      </c>
      <c r="H57">
        <v>0.93759019180036696</v>
      </c>
      <c r="I57">
        <v>0.55470508768028604</v>
      </c>
      <c r="J57">
        <v>0.73507587927312601</v>
      </c>
      <c r="K57">
        <v>0.83332284333706297</v>
      </c>
      <c r="L57">
        <v>0.93235463323735801</v>
      </c>
      <c r="M57">
        <f t="shared" si="2"/>
        <v>0.91010278668100397</v>
      </c>
      <c r="N57">
        <f t="shared" si="3"/>
        <v>0.83358445194918229</v>
      </c>
    </row>
    <row r="58" spans="1:15" x14ac:dyDescent="0.2">
      <c r="A58" t="s">
        <v>25</v>
      </c>
      <c r="B58">
        <v>0.80919488914309601</v>
      </c>
      <c r="C58">
        <v>0.91523613514809798</v>
      </c>
      <c r="D58">
        <v>0.74762994731939103</v>
      </c>
      <c r="E58">
        <v>0.68039509660161901</v>
      </c>
      <c r="F58">
        <v>0.67856534907538701</v>
      </c>
      <c r="G58">
        <v>0.58273206554810997</v>
      </c>
      <c r="H58">
        <v>0.810144028578342</v>
      </c>
      <c r="I58">
        <v>0.75589371040049302</v>
      </c>
      <c r="J58">
        <v>0.79043919335191504</v>
      </c>
      <c r="K58">
        <v>0.73020598130825298</v>
      </c>
      <c r="L58">
        <v>0.57885080696458202</v>
      </c>
      <c r="M58">
        <f t="shared" si="2"/>
        <v>0.82402032387019497</v>
      </c>
      <c r="N58">
        <f t="shared" si="3"/>
        <v>0.69983199387491668</v>
      </c>
    </row>
    <row r="61" spans="1:15" x14ac:dyDescent="0.2">
      <c r="A61" t="s">
        <v>41</v>
      </c>
    </row>
    <row r="62" spans="1:15" x14ac:dyDescent="0.2">
      <c r="A62" t="s">
        <v>15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H62" t="s">
        <v>33</v>
      </c>
      <c r="I62" t="s">
        <v>34</v>
      </c>
      <c r="J62" t="s">
        <v>35</v>
      </c>
      <c r="K62" t="s">
        <v>36</v>
      </c>
      <c r="L62" t="s">
        <v>37</v>
      </c>
      <c r="M62" t="s">
        <v>38</v>
      </c>
      <c r="N62" t="s">
        <v>39</v>
      </c>
      <c r="O62" t="s">
        <v>26</v>
      </c>
    </row>
    <row r="63" spans="1:15" x14ac:dyDescent="0.2">
      <c r="A63" t="s">
        <v>19</v>
      </c>
      <c r="B63">
        <v>8.8757398034837003E-3</v>
      </c>
      <c r="C63">
        <v>1.0607462247000101E-2</v>
      </c>
      <c r="D63">
        <v>1.8094330706631401E-2</v>
      </c>
      <c r="E63">
        <v>9.8433478493255393E-3</v>
      </c>
      <c r="F63">
        <v>3.1877332391926097E-2</v>
      </c>
      <c r="G63">
        <v>9.1004361057410894E-3</v>
      </c>
      <c r="H63">
        <v>1.03153518828954E-2</v>
      </c>
      <c r="I63">
        <v>1.69272782160396E-2</v>
      </c>
      <c r="J63">
        <v>9.2073638603806796E-2</v>
      </c>
      <c r="K63">
        <v>9.8940683066616505E-2</v>
      </c>
      <c r="L63">
        <v>9.0718058809646698E-3</v>
      </c>
      <c r="M63">
        <f t="shared" si="2"/>
        <v>1.2525844252371734E-2</v>
      </c>
      <c r="N63">
        <f t="shared" si="3"/>
        <v>6.669537585046266E-2</v>
      </c>
      <c r="O63">
        <f t="shared" si="4"/>
        <v>3.4062876388926765E-2</v>
      </c>
    </row>
    <row r="64" spans="1:15" x14ac:dyDescent="0.2">
      <c r="A64" t="s">
        <v>20</v>
      </c>
      <c r="B64">
        <v>0.15917620786470199</v>
      </c>
      <c r="C64">
        <v>0.227043921871525</v>
      </c>
      <c r="D64">
        <v>0.21031981414720499</v>
      </c>
      <c r="E64">
        <v>0.48038884717278801</v>
      </c>
      <c r="F64">
        <v>0.19668961536108701</v>
      </c>
      <c r="G64">
        <v>0.38100430526493101</v>
      </c>
      <c r="H64">
        <v>0.17518016903632899</v>
      </c>
      <c r="I64">
        <v>0.51618459014513796</v>
      </c>
      <c r="J64">
        <v>0.37502556529571601</v>
      </c>
      <c r="K64">
        <v>0.33852455405698201</v>
      </c>
      <c r="L64">
        <v>0.18554184351323899</v>
      </c>
      <c r="M64">
        <f t="shared" si="2"/>
        <v>0.19884664796114401</v>
      </c>
      <c r="N64">
        <f t="shared" si="3"/>
        <v>0.29969732095531237</v>
      </c>
    </row>
    <row r="65" spans="1:15" x14ac:dyDescent="0.2">
      <c r="A65" t="s">
        <v>21</v>
      </c>
      <c r="B65">
        <v>0.338840470340385</v>
      </c>
      <c r="C65">
        <v>3.4474865603388097E-2</v>
      </c>
      <c r="D65">
        <v>3.6916806848213399E-2</v>
      </c>
      <c r="E65">
        <v>2.7991472112989801E-2</v>
      </c>
      <c r="F65">
        <v>7.1823367331608101E-2</v>
      </c>
      <c r="G65">
        <v>6.3954524505750801E-2</v>
      </c>
      <c r="H65">
        <v>0.17291204824315101</v>
      </c>
      <c r="I65">
        <v>0.322808191512856</v>
      </c>
      <c r="J65">
        <v>0.19504715975998899</v>
      </c>
      <c r="K65">
        <v>0.16505221791264599</v>
      </c>
      <c r="L65">
        <v>0.201447663333364</v>
      </c>
      <c r="M65">
        <f t="shared" si="2"/>
        <v>0.13674404759732883</v>
      </c>
      <c r="N65">
        <f t="shared" si="3"/>
        <v>0.18718234700199968</v>
      </c>
    </row>
    <row r="66" spans="1:15" x14ac:dyDescent="0.2">
      <c r="A66" t="s">
        <v>22</v>
      </c>
      <c r="B66">
        <v>4.2314196001776702E-2</v>
      </c>
      <c r="C66">
        <v>3.6058524030162603E-2</v>
      </c>
      <c r="D66">
        <v>3.9750756425781998E-2</v>
      </c>
      <c r="E66">
        <v>2.6707162017541499E-2</v>
      </c>
      <c r="F66">
        <v>5.5413445139655099E-2</v>
      </c>
      <c r="G66">
        <v>0.15793411510458999</v>
      </c>
      <c r="H66">
        <v>2.6443247875391401E-2</v>
      </c>
      <c r="I66">
        <v>2.20072465458966E-2</v>
      </c>
      <c r="J66">
        <v>1.67385005415423E-2</v>
      </c>
      <c r="K66">
        <v>0.18955369943012901</v>
      </c>
      <c r="L66">
        <v>1.5184171794653799E-2</v>
      </c>
      <c r="M66">
        <f t="shared" si="2"/>
        <v>3.937449215257377E-2</v>
      </c>
      <c r="N66">
        <f t="shared" si="3"/>
        <v>7.3825457255441707E-2</v>
      </c>
    </row>
    <row r="67" spans="1:15" x14ac:dyDescent="0.2">
      <c r="A67" t="s">
        <v>23</v>
      </c>
      <c r="B67">
        <v>5.4929957603961299E-2</v>
      </c>
      <c r="C67">
        <v>0.22800331337760599</v>
      </c>
      <c r="D67">
        <v>0.17339474098659999</v>
      </c>
      <c r="E67">
        <v>5.2082263060188899E-2</v>
      </c>
      <c r="F67">
        <v>9.1207251507940401E-2</v>
      </c>
      <c r="G67">
        <v>6.4885144150519505E-2</v>
      </c>
      <c r="H67">
        <v>5.8614457105964399E-2</v>
      </c>
      <c r="I67">
        <v>4.2497913219216803E-2</v>
      </c>
      <c r="J67">
        <v>4.2910458400885497E-2</v>
      </c>
      <c r="K67">
        <v>0.28431329018988899</v>
      </c>
      <c r="L67">
        <v>4.5612894370318603E-2</v>
      </c>
      <c r="M67">
        <f t="shared" si="2"/>
        <v>0.15210933732272244</v>
      </c>
      <c r="N67">
        <f t="shared" si="3"/>
        <v>0.12427888098703103</v>
      </c>
    </row>
    <row r="68" spans="1:15" x14ac:dyDescent="0.2">
      <c r="A68" t="s">
        <v>24</v>
      </c>
      <c r="B68">
        <v>2.6095011966765801E-2</v>
      </c>
      <c r="C68">
        <v>2.6207870460064699E-2</v>
      </c>
      <c r="D68">
        <v>8.5366086472239103E-2</v>
      </c>
      <c r="E68">
        <v>0.30545615443936802</v>
      </c>
      <c r="F68">
        <v>0.51177959922955896</v>
      </c>
      <c r="G68">
        <v>0.30448000290045502</v>
      </c>
      <c r="H68">
        <v>3.7956793815072103E-2</v>
      </c>
      <c r="I68">
        <v>0.44945253255468098</v>
      </c>
      <c r="J68">
        <v>0.21019837908355399</v>
      </c>
      <c r="K68">
        <v>0.18126074593701499</v>
      </c>
      <c r="L68">
        <v>6.5030178673457797E-2</v>
      </c>
      <c r="M68">
        <f t="shared" si="2"/>
        <v>4.5889656299689864E-2</v>
      </c>
      <c r="N68">
        <f t="shared" si="3"/>
        <v>0.15216310123134227</v>
      </c>
    </row>
    <row r="69" spans="1:15" x14ac:dyDescent="0.2">
      <c r="A69" t="s">
        <v>25</v>
      </c>
      <c r="B69">
        <v>0.136893397050526</v>
      </c>
      <c r="C69">
        <v>9.5727381229984906E-2</v>
      </c>
      <c r="D69">
        <v>0.205688312458397</v>
      </c>
      <c r="E69">
        <v>0.20141848404093499</v>
      </c>
      <c r="F69">
        <v>0.39342244552054201</v>
      </c>
      <c r="G69">
        <v>0.52700149865855905</v>
      </c>
      <c r="H69">
        <v>0.207872812069403</v>
      </c>
      <c r="I69">
        <v>0.56891771409646696</v>
      </c>
      <c r="J69">
        <v>0.33900381009108099</v>
      </c>
      <c r="K69">
        <v>0.279177036448439</v>
      </c>
      <c r="L69">
        <v>0.42724408559070298</v>
      </c>
      <c r="M69">
        <f t="shared" si="2"/>
        <v>0.14610303024630264</v>
      </c>
      <c r="N69">
        <f t="shared" si="3"/>
        <v>0.34847497737674099</v>
      </c>
    </row>
    <row r="71" spans="1:15" x14ac:dyDescent="0.2">
      <c r="A71" t="s">
        <v>17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t="s">
        <v>32</v>
      </c>
      <c r="H71" t="s">
        <v>33</v>
      </c>
      <c r="I71" t="s">
        <v>34</v>
      </c>
      <c r="J71" t="s">
        <v>35</v>
      </c>
      <c r="K71" t="s">
        <v>36</v>
      </c>
      <c r="L71" t="s">
        <v>37</v>
      </c>
      <c r="M71" t="s">
        <v>38</v>
      </c>
      <c r="N71" t="s">
        <v>39</v>
      </c>
      <c r="O71" t="s">
        <v>26</v>
      </c>
    </row>
    <row r="72" spans="1:15" x14ac:dyDescent="0.2">
      <c r="A72" t="s">
        <v>19</v>
      </c>
      <c r="B72">
        <v>9.8844820493433905E-3</v>
      </c>
      <c r="C72">
        <v>2.1516741555367199E-2</v>
      </c>
      <c r="D72">
        <v>8.5194801883138702E-2</v>
      </c>
      <c r="E72">
        <v>2.1899864363963999E-2</v>
      </c>
      <c r="F72">
        <v>2.5282083899086E-2</v>
      </c>
      <c r="G72">
        <v>1.1886176766825501E-2</v>
      </c>
      <c r="H72">
        <v>1.80243208045128E-2</v>
      </c>
      <c r="I72">
        <v>3.6485106907904297E-2</v>
      </c>
      <c r="J72">
        <v>6.9758640483803702E-2</v>
      </c>
      <c r="K72">
        <v>5.50567870413987E-2</v>
      </c>
      <c r="L72">
        <v>1.487190724638E-2</v>
      </c>
      <c r="M72">
        <f t="shared" si="2"/>
        <v>3.8865341829283098E-2</v>
      </c>
      <c r="N72">
        <f t="shared" si="3"/>
        <v>4.6562444923860802E-2</v>
      </c>
      <c r="O72">
        <f t="shared" ref="O72:O112" si="5">TTEST(M72:M78,N72:N78,2,1)</f>
        <v>3.2218360663328616E-2</v>
      </c>
    </row>
    <row r="73" spans="1:15" x14ac:dyDescent="0.2">
      <c r="A73" t="s">
        <v>20</v>
      </c>
      <c r="B73">
        <v>0.14644129673891901</v>
      </c>
      <c r="C73">
        <v>0.18120702538032599</v>
      </c>
      <c r="D73">
        <v>0.23009081755812499</v>
      </c>
      <c r="E73">
        <v>0.450764128758192</v>
      </c>
      <c r="F73">
        <v>0.19759953329725999</v>
      </c>
      <c r="G73">
        <v>0.30581395171616899</v>
      </c>
      <c r="H73">
        <v>0.26868998616133399</v>
      </c>
      <c r="I73">
        <v>0.34902851750777802</v>
      </c>
      <c r="J73">
        <v>0.37719964327146499</v>
      </c>
      <c r="K73">
        <v>0.238196250604603</v>
      </c>
      <c r="L73">
        <v>0.19297356233847601</v>
      </c>
      <c r="M73">
        <f t="shared" si="2"/>
        <v>0.18591304655912333</v>
      </c>
      <c r="N73">
        <f t="shared" si="3"/>
        <v>0.26945648540484801</v>
      </c>
    </row>
    <row r="74" spans="1:15" x14ac:dyDescent="0.2">
      <c r="A74" t="s">
        <v>21</v>
      </c>
      <c r="B74">
        <v>0.58617025434186998</v>
      </c>
      <c r="C74">
        <v>3.2334931866542002E-2</v>
      </c>
      <c r="D74">
        <v>5.8206784774905401E-2</v>
      </c>
      <c r="E74">
        <v>4.4486948979047099E-2</v>
      </c>
      <c r="F74">
        <v>0.219865814902927</v>
      </c>
      <c r="G74">
        <v>0.17389750888077399</v>
      </c>
      <c r="H74">
        <v>0.455972499458492</v>
      </c>
      <c r="I74">
        <v>0.46836189271177903</v>
      </c>
      <c r="J74">
        <v>0.417908186021961</v>
      </c>
      <c r="K74">
        <v>0.226208206849078</v>
      </c>
      <c r="L74">
        <v>0.23223487422676101</v>
      </c>
      <c r="M74">
        <f t="shared" ref="M74:M118" si="6">AVERAGE(B74:D74)</f>
        <v>0.22557065699443912</v>
      </c>
      <c r="N74">
        <f t="shared" ref="N74:N118" si="7">AVERAGE(J74:L74)</f>
        <v>0.29211708903259997</v>
      </c>
    </row>
    <row r="75" spans="1:15" x14ac:dyDescent="0.2">
      <c r="A75" t="s">
        <v>22</v>
      </c>
      <c r="B75">
        <v>4.0952193480207899E-2</v>
      </c>
      <c r="C75">
        <v>4.0498969654291297E-2</v>
      </c>
      <c r="D75">
        <v>9.6409223359275098E-2</v>
      </c>
      <c r="E75">
        <v>2.9883746444381E-2</v>
      </c>
      <c r="F75">
        <v>1.9612499802779501E-2</v>
      </c>
      <c r="G75">
        <v>0.108872715022464</v>
      </c>
      <c r="H75">
        <v>2.6876145420587898E-2</v>
      </c>
      <c r="I75">
        <v>2.0652829488202198E-2</v>
      </c>
      <c r="J75">
        <v>2.6211771152623901E-2</v>
      </c>
      <c r="K75">
        <v>0.17360272204199301</v>
      </c>
      <c r="L75">
        <v>1.6958534743914601E-2</v>
      </c>
      <c r="M75">
        <f t="shared" si="6"/>
        <v>5.928679549792476E-2</v>
      </c>
      <c r="N75">
        <f t="shared" si="7"/>
        <v>7.2257675979510508E-2</v>
      </c>
    </row>
    <row r="76" spans="1:15" x14ac:dyDescent="0.2">
      <c r="A76" t="s">
        <v>23</v>
      </c>
      <c r="B76">
        <v>8.6342362078033003E-2</v>
      </c>
      <c r="C76">
        <v>0.198417205994847</v>
      </c>
      <c r="D76">
        <v>0.125766850602192</v>
      </c>
      <c r="E76">
        <v>6.4794267753841894E-2</v>
      </c>
      <c r="F76">
        <v>8.5539925832750302E-2</v>
      </c>
      <c r="G76">
        <v>4.9354964928593197E-2</v>
      </c>
      <c r="H76">
        <v>5.7610199503600301E-2</v>
      </c>
      <c r="I76">
        <v>5.47929375694238E-2</v>
      </c>
      <c r="J76">
        <v>3.4234483361349898E-2</v>
      </c>
      <c r="K76">
        <v>0.29744168231965401</v>
      </c>
      <c r="L76">
        <v>4.5953034049289902E-2</v>
      </c>
      <c r="M76">
        <f t="shared" si="6"/>
        <v>0.13684213955835733</v>
      </c>
      <c r="N76">
        <f t="shared" si="7"/>
        <v>0.12587639991009794</v>
      </c>
    </row>
    <row r="77" spans="1:15" x14ac:dyDescent="0.2">
      <c r="A77" t="s">
        <v>24</v>
      </c>
      <c r="B77">
        <v>3.6314556016323898E-2</v>
      </c>
      <c r="C77">
        <v>3.9491787214560301E-2</v>
      </c>
      <c r="D77">
        <v>0.193885296726104</v>
      </c>
      <c r="E77">
        <v>0.28386177863400203</v>
      </c>
      <c r="F77">
        <v>0.491177186863621</v>
      </c>
      <c r="G77">
        <v>0.333843191014565</v>
      </c>
      <c r="H77">
        <v>6.2409808199632502E-2</v>
      </c>
      <c r="I77">
        <v>0.44529491231971402</v>
      </c>
      <c r="J77">
        <v>0.26492412072687399</v>
      </c>
      <c r="K77">
        <v>0.166677156662937</v>
      </c>
      <c r="L77">
        <v>6.76453667626426E-2</v>
      </c>
      <c r="M77">
        <f t="shared" si="6"/>
        <v>8.9897213318996069E-2</v>
      </c>
      <c r="N77">
        <f t="shared" si="7"/>
        <v>0.16641554805081787</v>
      </c>
    </row>
    <row r="78" spans="1:15" x14ac:dyDescent="0.2">
      <c r="A78" t="s">
        <v>25</v>
      </c>
      <c r="B78">
        <v>0.19080511085690399</v>
      </c>
      <c r="C78">
        <v>8.4763864851902099E-2</v>
      </c>
      <c r="D78">
        <v>0.25237005268060902</v>
      </c>
      <c r="E78">
        <v>0.31960490339838099</v>
      </c>
      <c r="F78">
        <v>0.32143465092461299</v>
      </c>
      <c r="G78">
        <v>0.41726793445189098</v>
      </c>
      <c r="H78">
        <v>0.189855971421658</v>
      </c>
      <c r="I78">
        <v>0.244106289599508</v>
      </c>
      <c r="J78">
        <v>0.20956080664808599</v>
      </c>
      <c r="K78">
        <v>0.26979401869174702</v>
      </c>
      <c r="L78">
        <v>0.42114919303541798</v>
      </c>
      <c r="M78">
        <f t="shared" si="6"/>
        <v>0.17597967612980506</v>
      </c>
      <c r="N78">
        <f t="shared" si="7"/>
        <v>0.30016800612508365</v>
      </c>
    </row>
    <row r="81" spans="1:15" x14ac:dyDescent="0.2">
      <c r="A81" t="s">
        <v>42</v>
      </c>
    </row>
    <row r="82" spans="1:15" x14ac:dyDescent="0.2">
      <c r="A82" t="s">
        <v>15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H82" t="s">
        <v>33</v>
      </c>
      <c r="I82" t="s">
        <v>34</v>
      </c>
      <c r="J82" t="s">
        <v>35</v>
      </c>
      <c r="K82" t="s">
        <v>36</v>
      </c>
      <c r="L82" t="s">
        <v>37</v>
      </c>
      <c r="M82" t="s">
        <v>38</v>
      </c>
      <c r="N82" t="s">
        <v>39</v>
      </c>
      <c r="O82" t="s">
        <v>26</v>
      </c>
    </row>
    <row r="83" spans="1:15" x14ac:dyDescent="0.2">
      <c r="A83" t="s">
        <v>19</v>
      </c>
      <c r="B83">
        <v>0.96865453338365204</v>
      </c>
      <c r="C83">
        <v>0.96792559316790505</v>
      </c>
      <c r="D83">
        <v>0.94579090150397405</v>
      </c>
      <c r="E83">
        <v>0.973965854971098</v>
      </c>
      <c r="F83">
        <v>0.92181640855321301</v>
      </c>
      <c r="G83">
        <v>0.96861248062712202</v>
      </c>
      <c r="H83">
        <v>0.95638339989643395</v>
      </c>
      <c r="I83">
        <v>0.95966003801836597</v>
      </c>
      <c r="J83">
        <v>0.76280602829153699</v>
      </c>
      <c r="K83">
        <v>0.72994106349603505</v>
      </c>
      <c r="L83">
        <v>0.96336394594756802</v>
      </c>
      <c r="M83">
        <f t="shared" si="6"/>
        <v>0.96079034268517705</v>
      </c>
      <c r="N83">
        <f t="shared" si="7"/>
        <v>0.81870367924504672</v>
      </c>
      <c r="O83">
        <f t="shared" si="5"/>
        <v>1.6780912211499917E-2</v>
      </c>
    </row>
    <row r="84" spans="1:15" x14ac:dyDescent="0.2">
      <c r="A84" t="s">
        <v>20</v>
      </c>
      <c r="B84">
        <v>0.69920698090588695</v>
      </c>
      <c r="C84">
        <v>0.60602995452742903</v>
      </c>
      <c r="D84">
        <v>0.63763422012815996</v>
      </c>
      <c r="E84">
        <v>0.54461770976608403</v>
      </c>
      <c r="F84">
        <v>0.64297593362627004</v>
      </c>
      <c r="G84">
        <v>0.50424820004735404</v>
      </c>
      <c r="H84">
        <v>0.58682548504917698</v>
      </c>
      <c r="I84">
        <v>0.42906463088003599</v>
      </c>
      <c r="J84">
        <v>0.54450061611007905</v>
      </c>
      <c r="K84">
        <v>0.52716453210476599</v>
      </c>
      <c r="L84">
        <v>0.62905650523579704</v>
      </c>
      <c r="M84">
        <f t="shared" si="6"/>
        <v>0.64762371852049194</v>
      </c>
      <c r="N84">
        <f t="shared" si="7"/>
        <v>0.56690721781688069</v>
      </c>
    </row>
    <row r="85" spans="1:15" x14ac:dyDescent="0.2">
      <c r="A85" t="s">
        <v>21</v>
      </c>
      <c r="B85">
        <v>0.59991270466713698</v>
      </c>
      <c r="C85">
        <v>0.83000327150262199</v>
      </c>
      <c r="D85">
        <v>0.81519131064318995</v>
      </c>
      <c r="E85">
        <v>0.85519398149336501</v>
      </c>
      <c r="F85">
        <v>0.74456448172446499</v>
      </c>
      <c r="G85">
        <v>0.74705336149642698</v>
      </c>
      <c r="H85">
        <v>0.607084631019562</v>
      </c>
      <c r="I85">
        <v>0.57366919739488198</v>
      </c>
      <c r="J85">
        <v>0.64535839531545103</v>
      </c>
      <c r="K85">
        <v>0.71585375588150901</v>
      </c>
      <c r="L85">
        <v>0.69007487996279504</v>
      </c>
      <c r="M85">
        <f t="shared" si="6"/>
        <v>0.7483690956043163</v>
      </c>
      <c r="N85">
        <f t="shared" si="7"/>
        <v>0.6837623437199184</v>
      </c>
    </row>
    <row r="86" spans="1:15" x14ac:dyDescent="0.2">
      <c r="A86" t="s">
        <v>22</v>
      </c>
      <c r="B86">
        <v>0.90252235947631598</v>
      </c>
      <c r="C86">
        <v>0.90286587491078096</v>
      </c>
      <c r="D86">
        <v>0.89591047062009199</v>
      </c>
      <c r="E86">
        <v>0.92982592656101803</v>
      </c>
      <c r="F86">
        <v>0.81280598425407802</v>
      </c>
      <c r="G86">
        <v>0.70108367587695897</v>
      </c>
      <c r="H86">
        <v>0.93678241318549205</v>
      </c>
      <c r="I86">
        <v>0.92090140364667294</v>
      </c>
      <c r="J86">
        <v>0.94124625033310105</v>
      </c>
      <c r="K86">
        <v>0.67162921891572103</v>
      </c>
      <c r="L86">
        <v>0.935498903174802</v>
      </c>
      <c r="M86">
        <f t="shared" si="6"/>
        <v>0.90043290166906298</v>
      </c>
      <c r="N86">
        <f t="shared" si="7"/>
        <v>0.84945812414120814</v>
      </c>
    </row>
    <row r="87" spans="1:15" x14ac:dyDescent="0.2">
      <c r="A87" t="s">
        <v>23</v>
      </c>
      <c r="B87">
        <v>0.87803293191053</v>
      </c>
      <c r="C87">
        <v>0.74056475009873302</v>
      </c>
      <c r="D87">
        <v>0.75388034849687902</v>
      </c>
      <c r="E87">
        <v>0.90458352839594403</v>
      </c>
      <c r="F87">
        <v>0.84096873910780801</v>
      </c>
      <c r="G87">
        <v>0.88567811088357695</v>
      </c>
      <c r="H87">
        <v>0.88961413456719995</v>
      </c>
      <c r="I87">
        <v>0.90646262194531002</v>
      </c>
      <c r="J87">
        <v>0.90001293170840901</v>
      </c>
      <c r="K87">
        <v>0.64751557871481702</v>
      </c>
      <c r="L87">
        <v>0.91030013088468797</v>
      </c>
      <c r="M87">
        <f t="shared" si="6"/>
        <v>0.79082601016871401</v>
      </c>
      <c r="N87">
        <f t="shared" si="7"/>
        <v>0.81927621376930471</v>
      </c>
    </row>
    <row r="88" spans="1:15" x14ac:dyDescent="0.2">
      <c r="A88" t="s">
        <v>24</v>
      </c>
      <c r="B88">
        <v>0.83462833529854896</v>
      </c>
      <c r="C88">
        <v>0.82897808872379597</v>
      </c>
      <c r="D88">
        <v>0.61380455411801704</v>
      </c>
      <c r="E88">
        <v>0.606076749617528</v>
      </c>
      <c r="F88">
        <v>0.66194417602673505</v>
      </c>
      <c r="G88">
        <v>0.66358849271341303</v>
      </c>
      <c r="H88">
        <v>0.75967896385322198</v>
      </c>
      <c r="I88">
        <v>0.72313076045621205</v>
      </c>
      <c r="J88">
        <v>0.58780622401651295</v>
      </c>
      <c r="K88">
        <v>0.75085774418724005</v>
      </c>
      <c r="L88">
        <v>0.73897850679968202</v>
      </c>
      <c r="M88">
        <f t="shared" si="6"/>
        <v>0.75913699271345403</v>
      </c>
      <c r="N88">
        <f t="shared" si="7"/>
        <v>0.69254749166781171</v>
      </c>
    </row>
    <row r="89" spans="1:15" x14ac:dyDescent="0.2">
      <c r="A89" t="s">
        <v>25</v>
      </c>
      <c r="B89">
        <v>0.64799881275940896</v>
      </c>
      <c r="C89">
        <v>0.69238432789619497</v>
      </c>
      <c r="D89">
        <v>0.55226415154571395</v>
      </c>
      <c r="E89">
        <v>0.63442945489442804</v>
      </c>
      <c r="F89">
        <v>0.54164356746060105</v>
      </c>
      <c r="G89">
        <v>0.399827274378041</v>
      </c>
      <c r="H89">
        <v>0.58316805845174602</v>
      </c>
      <c r="I89">
        <v>0.54360463758761202</v>
      </c>
      <c r="J89">
        <v>0.42012705681314599</v>
      </c>
      <c r="K89">
        <v>0.58047425339491499</v>
      </c>
      <c r="L89">
        <v>0.42316681949062301</v>
      </c>
      <c r="M89">
        <f t="shared" si="6"/>
        <v>0.6308824307337727</v>
      </c>
      <c r="N89">
        <f t="shared" si="7"/>
        <v>0.47458937656622807</v>
      </c>
    </row>
    <row r="91" spans="1:15" x14ac:dyDescent="0.2">
      <c r="A91" t="s">
        <v>17</v>
      </c>
      <c r="B91" t="s">
        <v>27</v>
      </c>
      <c r="C91" t="s">
        <v>28</v>
      </c>
      <c r="D91" t="s">
        <v>29</v>
      </c>
      <c r="E91" t="s">
        <v>30</v>
      </c>
      <c r="F91" t="s">
        <v>31</v>
      </c>
      <c r="G91" t="s">
        <v>32</v>
      </c>
      <c r="H91" t="s">
        <v>33</v>
      </c>
      <c r="I91" t="s">
        <v>34</v>
      </c>
      <c r="J91" t="s">
        <v>35</v>
      </c>
      <c r="K91" t="s">
        <v>36</v>
      </c>
      <c r="L91" t="s">
        <v>37</v>
      </c>
      <c r="M91" t="s">
        <v>38</v>
      </c>
      <c r="N91" t="s">
        <v>39</v>
      </c>
      <c r="O91" t="s">
        <v>26</v>
      </c>
    </row>
    <row r="92" spans="1:15" x14ac:dyDescent="0.2">
      <c r="A92" t="s">
        <v>19</v>
      </c>
      <c r="B92">
        <v>0.96105607993023101</v>
      </c>
      <c r="C92">
        <v>0.93308678991247096</v>
      </c>
      <c r="D92">
        <v>0.80275691921890102</v>
      </c>
      <c r="E92">
        <v>0.93590774627524198</v>
      </c>
      <c r="F92">
        <v>0.91186717002492801</v>
      </c>
      <c r="G92">
        <v>0.95541337120632797</v>
      </c>
      <c r="H92">
        <v>0.92406144144648195</v>
      </c>
      <c r="I92">
        <v>0.89761138155167197</v>
      </c>
      <c r="J92">
        <v>0.78537686187274303</v>
      </c>
      <c r="K92">
        <v>0.79566688979826905</v>
      </c>
      <c r="L92">
        <v>0.93484476825626805</v>
      </c>
      <c r="M92">
        <f t="shared" si="6"/>
        <v>0.89896659635386766</v>
      </c>
      <c r="N92">
        <f t="shared" si="7"/>
        <v>0.83862950664242675</v>
      </c>
      <c r="O92">
        <f t="shared" si="5"/>
        <v>4.8056690386226605E-2</v>
      </c>
    </row>
    <row r="93" spans="1:15" x14ac:dyDescent="0.2">
      <c r="A93" t="s">
        <v>20</v>
      </c>
      <c r="B93">
        <v>0.70803097201643805</v>
      </c>
      <c r="C93">
        <v>0.62728656307931296</v>
      </c>
      <c r="D93">
        <v>0.60684270921211503</v>
      </c>
      <c r="E93">
        <v>0.50397715356578698</v>
      </c>
      <c r="F93">
        <v>0.60179284923012999</v>
      </c>
      <c r="G93">
        <v>0.49617429617095099</v>
      </c>
      <c r="H93">
        <v>0.52117470414532197</v>
      </c>
      <c r="I93">
        <v>0.51072993818797596</v>
      </c>
      <c r="J93">
        <v>0.52145429158571899</v>
      </c>
      <c r="K93">
        <v>0.601706245156297</v>
      </c>
      <c r="L93">
        <v>0.60585332704522099</v>
      </c>
      <c r="M93">
        <f t="shared" si="6"/>
        <v>0.64738674810262209</v>
      </c>
      <c r="N93">
        <f t="shared" si="7"/>
        <v>0.57633795459574566</v>
      </c>
    </row>
    <row r="94" spans="1:15" x14ac:dyDescent="0.2">
      <c r="A94" t="s">
        <v>21</v>
      </c>
      <c r="B94">
        <v>0.59163117905260199</v>
      </c>
      <c r="C94">
        <v>0.81063590187045798</v>
      </c>
      <c r="D94">
        <v>0.75350465287186397</v>
      </c>
      <c r="E94">
        <v>0.79798858376917103</v>
      </c>
      <c r="F94">
        <v>0.58172013320038396</v>
      </c>
      <c r="G94">
        <v>0.64438628873502501</v>
      </c>
      <c r="H94">
        <v>0.56004878186055196</v>
      </c>
      <c r="I94">
        <v>0.59826974499756702</v>
      </c>
      <c r="J94">
        <v>0.611042549929946</v>
      </c>
      <c r="K94">
        <v>0.70057404703852799</v>
      </c>
      <c r="L94">
        <v>0.67282011881070902</v>
      </c>
      <c r="M94">
        <f t="shared" si="6"/>
        <v>0.71859057793164138</v>
      </c>
      <c r="N94">
        <f t="shared" si="7"/>
        <v>0.66147890525972775</v>
      </c>
    </row>
    <row r="95" spans="1:15" x14ac:dyDescent="0.2">
      <c r="A95" t="s">
        <v>22</v>
      </c>
      <c r="B95">
        <v>0.90145561080707504</v>
      </c>
      <c r="C95">
        <v>0.90192501178634699</v>
      </c>
      <c r="D95">
        <v>0.783536806836858</v>
      </c>
      <c r="E95">
        <v>0.927667057984912</v>
      </c>
      <c r="F95">
        <v>0.92870754133536804</v>
      </c>
      <c r="G95">
        <v>0.76726063155458502</v>
      </c>
      <c r="H95">
        <v>0.93488709667932401</v>
      </c>
      <c r="I95">
        <v>0.92091390719739696</v>
      </c>
      <c r="J95">
        <v>0.919605879371026</v>
      </c>
      <c r="K95">
        <v>0.68874180865656698</v>
      </c>
      <c r="L95">
        <v>0.93748866427156896</v>
      </c>
      <c r="M95">
        <f t="shared" si="6"/>
        <v>0.8623058098100933</v>
      </c>
      <c r="N95">
        <f t="shared" si="7"/>
        <v>0.84861211743305398</v>
      </c>
    </row>
    <row r="96" spans="1:15" x14ac:dyDescent="0.2">
      <c r="A96" t="s">
        <v>23</v>
      </c>
      <c r="B96">
        <v>0.82779453975252504</v>
      </c>
      <c r="C96">
        <v>0.738402043890238</v>
      </c>
      <c r="D96">
        <v>0.78507271022158298</v>
      </c>
      <c r="E96">
        <v>0.88523922347627404</v>
      </c>
      <c r="F96">
        <v>0.84094006787623499</v>
      </c>
      <c r="G96">
        <v>0.90797169483678597</v>
      </c>
      <c r="H96">
        <v>0.90145070213223</v>
      </c>
      <c r="I96">
        <v>0.88226128915263802</v>
      </c>
      <c r="J96">
        <v>0.90761545257339604</v>
      </c>
      <c r="K96">
        <v>0.63512385621234502</v>
      </c>
      <c r="L96">
        <v>0.909302208584854</v>
      </c>
      <c r="M96">
        <f t="shared" si="6"/>
        <v>0.78375643128811534</v>
      </c>
      <c r="N96">
        <f t="shared" si="7"/>
        <v>0.81734717245686506</v>
      </c>
    </row>
    <row r="97" spans="1:15" x14ac:dyDescent="0.2">
      <c r="A97" t="s">
        <v>24</v>
      </c>
      <c r="B97">
        <v>0.82316668138816496</v>
      </c>
      <c r="C97">
        <v>0.78654728562214304</v>
      </c>
      <c r="D97">
        <v>0.48879964468980802</v>
      </c>
      <c r="E97">
        <v>0.60891310107236996</v>
      </c>
      <c r="F97">
        <v>0.64972285613232506</v>
      </c>
      <c r="G97">
        <v>0.63405447611397703</v>
      </c>
      <c r="H97">
        <v>0.67694617729495499</v>
      </c>
      <c r="I97">
        <v>0.72284190658488001</v>
      </c>
      <c r="J97">
        <v>0.53480516486567597</v>
      </c>
      <c r="K97">
        <v>0.75037711898983905</v>
      </c>
      <c r="L97">
        <v>0.745417855618831</v>
      </c>
      <c r="M97">
        <f t="shared" si="6"/>
        <v>0.69950453723337203</v>
      </c>
      <c r="N97">
        <f t="shared" si="7"/>
        <v>0.67686671315811531</v>
      </c>
    </row>
    <row r="98" spans="1:15" x14ac:dyDescent="0.2">
      <c r="A98" t="s">
        <v>25</v>
      </c>
      <c r="B98">
        <v>0.61369749045248001</v>
      </c>
      <c r="C98">
        <v>0.73633027384161998</v>
      </c>
      <c r="D98">
        <v>0.57029786553947903</v>
      </c>
      <c r="E98">
        <v>0.54826285837259803</v>
      </c>
      <c r="F98">
        <v>0.548146344863507</v>
      </c>
      <c r="G98">
        <v>0.46578828745101902</v>
      </c>
      <c r="H98">
        <v>0.60062083652445097</v>
      </c>
      <c r="I98">
        <v>0.56405160000093202</v>
      </c>
      <c r="J98">
        <v>0.54793316412961002</v>
      </c>
      <c r="K98">
        <v>0.57103712806121099</v>
      </c>
      <c r="L98">
        <v>0.48624295743804402</v>
      </c>
      <c r="M98">
        <f t="shared" si="6"/>
        <v>0.6401085432778596</v>
      </c>
      <c r="N98">
        <f t="shared" si="7"/>
        <v>0.5350710832096216</v>
      </c>
    </row>
    <row r="101" spans="1:15" x14ac:dyDescent="0.2">
      <c r="A101" t="s">
        <v>43</v>
      </c>
    </row>
    <row r="102" spans="1:15" x14ac:dyDescent="0.2">
      <c r="A102" t="s">
        <v>15</v>
      </c>
      <c r="B102" t="s">
        <v>27</v>
      </c>
      <c r="C102" t="s">
        <v>28</v>
      </c>
      <c r="D102" t="s">
        <v>29</v>
      </c>
      <c r="E102" t="s">
        <v>30</v>
      </c>
      <c r="F102" t="s">
        <v>31</v>
      </c>
      <c r="G102" t="s">
        <v>32</v>
      </c>
      <c r="H102" t="s">
        <v>33</v>
      </c>
      <c r="I102" t="s">
        <v>34</v>
      </c>
      <c r="J102" t="s">
        <v>35</v>
      </c>
      <c r="K102" t="s">
        <v>36</v>
      </c>
      <c r="L102" t="s">
        <v>37</v>
      </c>
      <c r="M102" t="s">
        <v>38</v>
      </c>
      <c r="N102" t="s">
        <v>39</v>
      </c>
      <c r="O102" t="s">
        <v>26</v>
      </c>
    </row>
    <row r="103" spans="1:15" x14ac:dyDescent="0.2">
      <c r="A103" t="s">
        <v>19</v>
      </c>
      <c r="B103">
        <v>3.1345466616348301E-2</v>
      </c>
      <c r="C103">
        <v>3.2074406832095302E-2</v>
      </c>
      <c r="D103">
        <v>5.4209098496026203E-2</v>
      </c>
      <c r="E103">
        <v>2.6034145028902202E-2</v>
      </c>
      <c r="F103">
        <v>7.8183591446787201E-2</v>
      </c>
      <c r="G103">
        <v>3.1387519372877801E-2</v>
      </c>
      <c r="H103">
        <v>4.3616600103565897E-2</v>
      </c>
      <c r="I103">
        <v>4.0339961981633997E-2</v>
      </c>
      <c r="J103">
        <v>0.23719397170846299</v>
      </c>
      <c r="K103">
        <v>0.27005893650396501</v>
      </c>
      <c r="L103">
        <v>3.66360540524319E-2</v>
      </c>
      <c r="M103">
        <f t="shared" si="6"/>
        <v>3.9209657314823267E-2</v>
      </c>
      <c r="N103">
        <f t="shared" si="7"/>
        <v>0.18129632075495328</v>
      </c>
      <c r="O103">
        <f t="shared" si="5"/>
        <v>1.6780912211499504E-2</v>
      </c>
    </row>
    <row r="104" spans="1:15" x14ac:dyDescent="0.2">
      <c r="A104" t="s">
        <v>20</v>
      </c>
      <c r="B104">
        <v>0.30079301909411299</v>
      </c>
      <c r="C104">
        <v>0.39397004547257097</v>
      </c>
      <c r="D104">
        <v>0.36236577987184099</v>
      </c>
      <c r="E104">
        <v>0.45538229023391602</v>
      </c>
      <c r="F104">
        <v>0.35702406637373102</v>
      </c>
      <c r="G104">
        <v>0.49575179995264601</v>
      </c>
      <c r="H104">
        <v>0.41317451495082302</v>
      </c>
      <c r="I104">
        <v>0.57093536911996401</v>
      </c>
      <c r="J104">
        <v>0.45549938388992101</v>
      </c>
      <c r="K104">
        <v>0.47283546789523501</v>
      </c>
      <c r="L104">
        <v>0.37094349476420302</v>
      </c>
      <c r="M104">
        <f t="shared" si="6"/>
        <v>0.35237628147950834</v>
      </c>
      <c r="N104">
        <f t="shared" si="7"/>
        <v>0.43309278218311964</v>
      </c>
    </row>
    <row r="105" spans="1:15" x14ac:dyDescent="0.2">
      <c r="A105" t="s">
        <v>21</v>
      </c>
      <c r="B105">
        <v>0.40008729533286302</v>
      </c>
      <c r="C105">
        <v>0.16999672849737801</v>
      </c>
      <c r="D105">
        <v>0.18480868935681</v>
      </c>
      <c r="E105">
        <v>0.14480601850663599</v>
      </c>
      <c r="F105">
        <v>0.25543551827553501</v>
      </c>
      <c r="G105">
        <v>0.25294663850357302</v>
      </c>
      <c r="H105">
        <v>0.392915368980438</v>
      </c>
      <c r="I105">
        <v>0.42633080260511802</v>
      </c>
      <c r="J105">
        <v>0.35464160468454897</v>
      </c>
      <c r="K105">
        <v>0.28414624411849199</v>
      </c>
      <c r="L105">
        <v>0.30992512003720601</v>
      </c>
      <c r="M105">
        <f t="shared" si="6"/>
        <v>0.2516309043956837</v>
      </c>
      <c r="N105">
        <f t="shared" si="7"/>
        <v>0.31623765628008232</v>
      </c>
    </row>
    <row r="106" spans="1:15" x14ac:dyDescent="0.2">
      <c r="A106" t="s">
        <v>22</v>
      </c>
      <c r="B106">
        <v>9.7477640523684406E-2</v>
      </c>
      <c r="C106">
        <v>9.7134125089218606E-2</v>
      </c>
      <c r="D106">
        <v>0.10408952937990799</v>
      </c>
      <c r="E106">
        <v>7.0174073438981799E-2</v>
      </c>
      <c r="F106">
        <v>0.18719401574592201</v>
      </c>
      <c r="G106">
        <v>0.29891632412304098</v>
      </c>
      <c r="H106">
        <v>6.3217586814508495E-2</v>
      </c>
      <c r="I106">
        <v>7.9098596353327194E-2</v>
      </c>
      <c r="J106">
        <v>5.8753749666899301E-2</v>
      </c>
      <c r="K106">
        <v>0.32837078108427897</v>
      </c>
      <c r="L106">
        <v>6.4501096825197501E-2</v>
      </c>
      <c r="M106">
        <f t="shared" si="6"/>
        <v>9.9567098330937007E-2</v>
      </c>
      <c r="N106">
        <f t="shared" si="7"/>
        <v>0.15054187585879192</v>
      </c>
    </row>
    <row r="107" spans="1:15" x14ac:dyDescent="0.2">
      <c r="A107" t="s">
        <v>23</v>
      </c>
      <c r="B107">
        <v>0.121967068089469</v>
      </c>
      <c r="C107">
        <v>0.25943524990126698</v>
      </c>
      <c r="D107">
        <v>0.24611965150312101</v>
      </c>
      <c r="E107">
        <v>9.5416471604056405E-2</v>
      </c>
      <c r="F107">
        <v>0.15903126089219199</v>
      </c>
      <c r="G107">
        <v>0.11432188911642301</v>
      </c>
      <c r="H107">
        <v>0.1103858654328</v>
      </c>
      <c r="I107">
        <v>9.3537378054690604E-2</v>
      </c>
      <c r="J107">
        <v>9.9987068291591499E-2</v>
      </c>
      <c r="K107">
        <v>0.35248442128518398</v>
      </c>
      <c r="L107">
        <v>8.9699869115312206E-2</v>
      </c>
      <c r="M107">
        <f t="shared" si="6"/>
        <v>0.20917398983128566</v>
      </c>
      <c r="N107">
        <f t="shared" si="7"/>
        <v>0.18072378623069588</v>
      </c>
    </row>
    <row r="108" spans="1:15" x14ac:dyDescent="0.2">
      <c r="A108" t="s">
        <v>24</v>
      </c>
      <c r="B108">
        <v>0.16537166470145101</v>
      </c>
      <c r="C108">
        <v>0.171021911276204</v>
      </c>
      <c r="D108">
        <v>0.38619544588198301</v>
      </c>
      <c r="E108">
        <v>0.393923250382472</v>
      </c>
      <c r="F108">
        <v>0.338055823973265</v>
      </c>
      <c r="G108">
        <v>0.33641150728658697</v>
      </c>
      <c r="H108">
        <v>0.24032103614677799</v>
      </c>
      <c r="I108">
        <v>0.276869239543788</v>
      </c>
      <c r="J108">
        <v>0.412193775983487</v>
      </c>
      <c r="K108">
        <v>0.24914225581276001</v>
      </c>
      <c r="L108">
        <v>0.26102149320031898</v>
      </c>
      <c r="M108">
        <f t="shared" si="6"/>
        <v>0.240863007286546</v>
      </c>
      <c r="N108">
        <f t="shared" si="7"/>
        <v>0.30745250833218868</v>
      </c>
    </row>
    <row r="109" spans="1:15" x14ac:dyDescent="0.2">
      <c r="A109" t="s">
        <v>25</v>
      </c>
      <c r="B109">
        <v>0.35200118724059098</v>
      </c>
      <c r="C109">
        <v>0.30761567210380503</v>
      </c>
      <c r="D109">
        <v>0.44773584845428599</v>
      </c>
      <c r="E109">
        <v>0.36557054510557202</v>
      </c>
      <c r="F109">
        <v>0.45835643253939901</v>
      </c>
      <c r="G109">
        <v>0.600172725621959</v>
      </c>
      <c r="H109">
        <v>0.41683194154825398</v>
      </c>
      <c r="I109">
        <v>0.45639536241238798</v>
      </c>
      <c r="J109">
        <v>0.57987294318685501</v>
      </c>
      <c r="K109">
        <v>0.41952574660508501</v>
      </c>
      <c r="L109">
        <v>0.57683318050937704</v>
      </c>
      <c r="M109">
        <f t="shared" si="6"/>
        <v>0.36911756926622735</v>
      </c>
      <c r="N109">
        <f t="shared" si="7"/>
        <v>0.52541062343377243</v>
      </c>
    </row>
    <row r="111" spans="1:15" x14ac:dyDescent="0.2">
      <c r="A111" t="s">
        <v>17</v>
      </c>
      <c r="B111" t="s">
        <v>27</v>
      </c>
      <c r="C111" t="s">
        <v>28</v>
      </c>
      <c r="D111" t="s">
        <v>29</v>
      </c>
      <c r="E111" t="s">
        <v>30</v>
      </c>
      <c r="F111" t="s">
        <v>31</v>
      </c>
      <c r="G111" t="s">
        <v>32</v>
      </c>
      <c r="H111" t="s">
        <v>33</v>
      </c>
      <c r="I111" t="s">
        <v>34</v>
      </c>
      <c r="J111" t="s">
        <v>35</v>
      </c>
      <c r="K111" t="s">
        <v>36</v>
      </c>
      <c r="L111" t="s">
        <v>37</v>
      </c>
      <c r="M111" t="s">
        <v>38</v>
      </c>
      <c r="N111" t="s">
        <v>39</v>
      </c>
      <c r="O111" t="s">
        <v>26</v>
      </c>
    </row>
    <row r="112" spans="1:15" x14ac:dyDescent="0.2">
      <c r="A112" t="s">
        <v>19</v>
      </c>
      <c r="B112">
        <v>3.8943920069768698E-2</v>
      </c>
      <c r="C112">
        <v>6.6913210087528902E-2</v>
      </c>
      <c r="D112">
        <v>0.19724308078109901</v>
      </c>
      <c r="E112">
        <v>6.4092253724758505E-2</v>
      </c>
      <c r="F112">
        <v>8.8132829975071797E-2</v>
      </c>
      <c r="G112">
        <v>4.4586628793672298E-2</v>
      </c>
      <c r="H112">
        <v>7.5938558553517901E-2</v>
      </c>
      <c r="I112">
        <v>0.102388618448328</v>
      </c>
      <c r="J112">
        <v>0.214623138127257</v>
      </c>
      <c r="K112">
        <v>0.20433311020173101</v>
      </c>
      <c r="L112">
        <v>6.5155231743732403E-2</v>
      </c>
      <c r="M112">
        <f t="shared" si="6"/>
        <v>0.10103340364613221</v>
      </c>
      <c r="N112">
        <f t="shared" si="7"/>
        <v>0.16137049335757347</v>
      </c>
      <c r="O112">
        <f t="shared" si="5"/>
        <v>4.8056690386226605E-2</v>
      </c>
    </row>
    <row r="113" spans="1:14" x14ac:dyDescent="0.2">
      <c r="A113" t="s">
        <v>20</v>
      </c>
      <c r="B113">
        <v>0.291969027983562</v>
      </c>
      <c r="C113">
        <v>0.37271343692068698</v>
      </c>
      <c r="D113">
        <v>0.39315729078788503</v>
      </c>
      <c r="E113">
        <v>0.49602284643421302</v>
      </c>
      <c r="F113">
        <v>0.39820715076987001</v>
      </c>
      <c r="G113">
        <v>0.50382570382904901</v>
      </c>
      <c r="H113">
        <v>0.47882529585467798</v>
      </c>
      <c r="I113">
        <v>0.48927006181202498</v>
      </c>
      <c r="J113">
        <v>0.47854570841428101</v>
      </c>
      <c r="K113">
        <v>0.398293754843703</v>
      </c>
      <c r="L113">
        <v>0.39414667295477901</v>
      </c>
      <c r="M113">
        <f t="shared" si="6"/>
        <v>0.35261325189737797</v>
      </c>
      <c r="N113">
        <f t="shared" si="7"/>
        <v>0.42366204540425434</v>
      </c>
    </row>
    <row r="114" spans="1:14" x14ac:dyDescent="0.2">
      <c r="A114" t="s">
        <v>21</v>
      </c>
      <c r="B114">
        <v>0.40836882094739801</v>
      </c>
      <c r="C114">
        <v>0.189364098129542</v>
      </c>
      <c r="D114">
        <v>0.24649534712813601</v>
      </c>
      <c r="E114">
        <v>0.20201141623082999</v>
      </c>
      <c r="F114">
        <v>0.41827986679961598</v>
      </c>
      <c r="G114">
        <v>0.35561371126497499</v>
      </c>
      <c r="H114">
        <v>0.43995121813944799</v>
      </c>
      <c r="I114">
        <v>0.40173025500243398</v>
      </c>
      <c r="J114">
        <v>0.388957450070055</v>
      </c>
      <c r="K114">
        <v>0.29942595296147201</v>
      </c>
      <c r="L114">
        <v>0.32717988118929098</v>
      </c>
      <c r="M114">
        <f t="shared" si="6"/>
        <v>0.28140942206835867</v>
      </c>
      <c r="N114">
        <f t="shared" si="7"/>
        <v>0.33852109474027264</v>
      </c>
    </row>
    <row r="115" spans="1:14" x14ac:dyDescent="0.2">
      <c r="A115" t="s">
        <v>22</v>
      </c>
      <c r="B115">
        <v>9.8544389192924603E-2</v>
      </c>
      <c r="C115">
        <v>9.80749882136535E-2</v>
      </c>
      <c r="D115">
        <v>0.216463193163142</v>
      </c>
      <c r="E115">
        <v>7.2332942015087998E-2</v>
      </c>
      <c r="F115">
        <v>7.12924586646317E-2</v>
      </c>
      <c r="G115">
        <v>0.23273936844541601</v>
      </c>
      <c r="H115">
        <v>6.5112903320676097E-2</v>
      </c>
      <c r="I115">
        <v>7.9086092802602898E-2</v>
      </c>
      <c r="J115">
        <v>8.03941206289744E-2</v>
      </c>
      <c r="K115">
        <v>0.31125819134343302</v>
      </c>
      <c r="L115">
        <v>6.2511335728430997E-2</v>
      </c>
      <c r="M115">
        <f t="shared" si="6"/>
        <v>0.1376941901899067</v>
      </c>
      <c r="N115">
        <f t="shared" si="7"/>
        <v>0.15138788256694613</v>
      </c>
    </row>
    <row r="116" spans="1:14" x14ac:dyDescent="0.2">
      <c r="A116" t="s">
        <v>23</v>
      </c>
      <c r="B116">
        <v>0.17220546024747499</v>
      </c>
      <c r="C116">
        <v>0.261597956109762</v>
      </c>
      <c r="D116">
        <v>0.21492728977841699</v>
      </c>
      <c r="E116">
        <v>0.114760776523726</v>
      </c>
      <c r="F116">
        <v>0.15905993212376501</v>
      </c>
      <c r="G116">
        <v>9.2028305163214294E-2</v>
      </c>
      <c r="H116">
        <v>9.8549297867770003E-2</v>
      </c>
      <c r="I116">
        <v>0.117738710847362</v>
      </c>
      <c r="J116">
        <v>9.2384547426603805E-2</v>
      </c>
      <c r="K116">
        <v>0.36487614378765498</v>
      </c>
      <c r="L116">
        <v>9.0697791415146098E-2</v>
      </c>
      <c r="M116">
        <f t="shared" si="6"/>
        <v>0.21624356871188466</v>
      </c>
      <c r="N116">
        <f t="shared" si="7"/>
        <v>0.18265282754313494</v>
      </c>
    </row>
    <row r="117" spans="1:14" x14ac:dyDescent="0.2">
      <c r="A117" t="s">
        <v>24</v>
      </c>
      <c r="B117">
        <v>0.17683331861183499</v>
      </c>
      <c r="C117">
        <v>0.21345271437785701</v>
      </c>
      <c r="D117">
        <v>0.51120035531019203</v>
      </c>
      <c r="E117">
        <v>0.39108689892762999</v>
      </c>
      <c r="F117">
        <v>0.350277143867675</v>
      </c>
      <c r="G117">
        <v>0.36594552388602303</v>
      </c>
      <c r="H117">
        <v>0.32305382270504501</v>
      </c>
      <c r="I117">
        <v>0.27715809341512099</v>
      </c>
      <c r="J117">
        <v>0.46519483513432403</v>
      </c>
      <c r="K117">
        <v>0.249622881010161</v>
      </c>
      <c r="L117">
        <v>0.254582144381169</v>
      </c>
      <c r="M117">
        <f t="shared" si="6"/>
        <v>0.30049546276662803</v>
      </c>
      <c r="N117">
        <f t="shared" si="7"/>
        <v>0.32313328684188469</v>
      </c>
    </row>
    <row r="118" spans="1:14" x14ac:dyDescent="0.2">
      <c r="A118" t="s">
        <v>25</v>
      </c>
      <c r="B118">
        <v>0.38630250954751999</v>
      </c>
      <c r="C118">
        <v>0.26366972615838002</v>
      </c>
      <c r="D118">
        <v>0.42970213446052102</v>
      </c>
      <c r="E118">
        <v>0.45173714162740197</v>
      </c>
      <c r="F118">
        <v>0.451853655136493</v>
      </c>
      <c r="G118">
        <v>0.53421171254898103</v>
      </c>
      <c r="H118">
        <v>0.39937916347554903</v>
      </c>
      <c r="I118">
        <v>0.43594839999906798</v>
      </c>
      <c r="J118">
        <v>0.45206683587038998</v>
      </c>
      <c r="K118">
        <v>0.42896287193878901</v>
      </c>
      <c r="L118">
        <v>0.51375704256195598</v>
      </c>
      <c r="M118">
        <f t="shared" si="6"/>
        <v>0.35989145672214035</v>
      </c>
      <c r="N118">
        <f t="shared" si="7"/>
        <v>0.46492891679037829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2024-12-29T18:10:13Z</dcterms:modified>
</cp:coreProperties>
</file>