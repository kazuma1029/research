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/>
  <mc:AlternateContent xmlns:mc="http://schemas.openxmlformats.org/markup-compatibility/2006">
    <mc:Choice Requires="x15">
      <x15ac:absPath xmlns:x15ac="http://schemas.microsoft.com/office/spreadsheetml/2010/11/ac" url="https://nitechict-my.sharepoint.com/personal/cmt14021_ict_nitech_ac_jp/Documents/system/実験結果/"/>
    </mc:Choice>
  </mc:AlternateContent>
  <xr:revisionPtr revIDLastSave="65" documentId="11_0185AA2652AB9318144E5D67C449E2FA61DA3814" xr6:coauthVersionLast="47" xr6:coauthVersionMax="47" xr10:uidLastSave="{7409AB0F-3868-4B05-A146-A0EC47BA66EB}"/>
  <bookViews>
    <workbookView xWindow="-108" yWindow="-108" windowWidth="23256" windowHeight="13896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37" i="1" l="1"/>
  <c r="E25" i="1"/>
  <c r="E13" i="1"/>
  <c r="D73" i="1"/>
  <c r="B73" i="1"/>
  <c r="C72" i="1"/>
  <c r="C71" i="1"/>
  <c r="C70" i="1"/>
  <c r="C69" i="1"/>
  <c r="C68" i="1"/>
  <c r="C67" i="1"/>
  <c r="C66" i="1"/>
  <c r="C65" i="1"/>
  <c r="C64" i="1"/>
  <c r="C63" i="1"/>
  <c r="C62" i="1"/>
  <c r="C61" i="1"/>
  <c r="C60" i="1"/>
  <c r="C59" i="1"/>
  <c r="C58" i="1"/>
  <c r="C57" i="1"/>
  <c r="C56" i="1"/>
  <c r="C55" i="1"/>
  <c r="C54" i="1"/>
  <c r="C53" i="1"/>
  <c r="F25" i="1"/>
  <c r="F17" i="1"/>
  <c r="B16" i="1"/>
  <c r="B15" i="1"/>
  <c r="B14" i="1"/>
  <c r="B13" i="1"/>
  <c r="B12" i="1"/>
  <c r="B11" i="1"/>
  <c r="F9" i="1"/>
  <c r="C73" i="1" l="1"/>
</calcChain>
</file>

<file path=xl/sharedStrings.xml><?xml version="1.0" encoding="utf-8"?>
<sst xmlns="http://schemas.openxmlformats.org/spreadsheetml/2006/main" count="21" uniqueCount="14">
  <si>
    <t>適合率</t>
  </si>
  <si>
    <t>n</t>
  </si>
  <si>
    <t>fastText+SVM</t>
  </si>
  <si>
    <t>fastText+BERT(全レビュー)</t>
  </si>
  <si>
    <t>fastText+BERT(全レビュー+us)</t>
  </si>
  <si>
    <t>fastText+BERT(全レビュー+rus)</t>
  </si>
  <si>
    <t>fastText+BERT(抽出レビュー)</t>
  </si>
  <si>
    <t>平均</t>
  </si>
  <si>
    <t>再現率</t>
  </si>
  <si>
    <t>F値</t>
  </si>
  <si>
    <t>先行研究</t>
  </si>
  <si>
    <t>へいきん</t>
    <phoneticPr fontId="1"/>
  </si>
  <si>
    <t>負例555</t>
    <rPh sb="0" eb="1">
      <t>マ</t>
    </rPh>
    <rPh sb="1" eb="2">
      <t>レイ</t>
    </rPh>
    <phoneticPr fontId="1"/>
  </si>
  <si>
    <t>正例416</t>
    <rPh sb="0" eb="1">
      <t>タダ</t>
    </rPh>
    <rPh sb="1" eb="2">
      <t>レイ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</si>
</sst>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</fonts>
  <fills count="3">
    <fill>
      <patternFill patternType="none"/>
    </fill>
    <fill>
      <patternFill patternType="gray125"/>
    </fill>
    <fill>
      <patternFill patternType="solid">
        <fgColor theme="3" tint="0.749992370372631"/>
        <bgColor indexed="64"/>
      </patternFill>
    </fill>
  </fills>
  <borders count="4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>
      <alignment vertical="center"/>
    </xf>
  </cellStyleXfs>
  <cellXfs count="8">
    <xf numFmtId="0" fontId="0" fillId="0" borderId="0" xfId="0">
      <alignment vertical="center"/>
    </xf>
    <xf numFmtId="0" fontId="0" fillId="0" borderId="0" xfId="0" applyAlignment="1"/>
    <xf numFmtId="0" fontId="0" fillId="0" borderId="1" xfId="0" applyBorder="1">
      <alignment vertical="center"/>
    </xf>
    <xf numFmtId="0" fontId="0" fillId="0" borderId="2" xfId="0" applyBorder="1" applyAlignment="1"/>
    <xf numFmtId="0" fontId="0" fillId="0" borderId="3" xfId="0" applyBorder="1" applyAlignment="1"/>
    <xf numFmtId="0" fontId="0" fillId="0" borderId="0" xfId="0" applyAlignment="1">
      <alignment horizontal="right" vertical="center"/>
    </xf>
    <xf numFmtId="0" fontId="0" fillId="0" borderId="0" xfId="0" applyAlignment="1">
      <alignment horizontal="left"/>
    </xf>
    <xf numFmtId="0" fontId="0" fillId="2" borderId="0" xfId="0" applyFill="1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1"/>
  <c:style val="2"/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ja-JP" altLang="en-US"/>
              <a:t>被験者</a:t>
            </a:r>
            <a:r>
              <a:rPr lang="en-US" altLang="ja-JP"/>
              <a:t>1</a:t>
            </a:r>
            <a:r>
              <a:rPr lang="ja-JP" altLang="en-US"/>
              <a:t>の</a:t>
            </a:r>
            <a:r>
              <a:rPr lang="en-US" altLang="ja-JP"/>
              <a:t>F</a:t>
            </a:r>
            <a:r>
              <a:rPr lang="ja-JP" altLang="en-US"/>
              <a:t>値</a:t>
            </a:r>
          </a:p>
        </c:rich>
      </c:tx>
      <c:overlay val="0"/>
      <c:spPr>
        <a:noFill/>
        <a:ln>
          <a:noFill/>
          <a:prstDash val="solid"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提案手法1</c:v>
          </c:tx>
          <c:spPr>
            <a:ln w="28575" cap="rnd">
              <a:solidFill>
                <a:schemeClr val="accent1"/>
              </a:solidFill>
              <a:prstDash val="solid"/>
              <a:round/>
            </a:ln>
          </c:spPr>
          <c:marker>
            <c:symbol val="none"/>
          </c:marker>
          <c:cat>
            <c:numRef>
              <c:f>Sheet1!$A$19:$A$23</c:f>
              <c:numCache>
                <c:formatCode>General</c:formatCode>
                <c:ptCount val="5"/>
                <c:pt idx="0">
                  <c:v>100</c:v>
                </c:pt>
                <c:pt idx="1">
                  <c:v>200</c:v>
                </c:pt>
                <c:pt idx="2">
                  <c:v>300</c:v>
                </c:pt>
                <c:pt idx="3">
                  <c:v>400</c:v>
                </c:pt>
                <c:pt idx="4">
                  <c:v>500</c:v>
                </c:pt>
              </c:numCache>
            </c:numRef>
          </c:cat>
          <c:val>
            <c:numRef>
              <c:f>Sheet1!$F$19:$F$23</c:f>
              <c:numCache>
                <c:formatCode>General</c:formatCode>
                <c:ptCount val="5"/>
                <c:pt idx="0">
                  <c:v>0.60667019587083115</c:v>
                </c:pt>
                <c:pt idx="1">
                  <c:v>0.5788262370540852</c:v>
                </c:pt>
                <c:pt idx="2">
                  <c:v>0.67104686815593517</c:v>
                </c:pt>
                <c:pt idx="3">
                  <c:v>0.6522339935513588</c:v>
                </c:pt>
                <c:pt idx="4">
                  <c:v>0.68541157294213528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E73-4AEF-93C2-98EAFA7560AB}"/>
            </c:ext>
          </c:extLst>
        </c:ser>
        <c:ser>
          <c:idx val="1"/>
          <c:order val="1"/>
          <c:tx>
            <c:v>提案手法2</c:v>
          </c:tx>
          <c:marker>
            <c:symbol val="none"/>
          </c:marker>
          <c:val>
            <c:numRef>
              <c:f>Sheet1!$D$19:$D$23</c:f>
              <c:numCache>
                <c:formatCode>General</c:formatCode>
                <c:ptCount val="5"/>
                <c:pt idx="0">
                  <c:v>0.67796610169491522</c:v>
                </c:pt>
                <c:pt idx="1">
                  <c:v>0.67796610169491522</c:v>
                </c:pt>
                <c:pt idx="2">
                  <c:v>0.67796610169491522</c:v>
                </c:pt>
                <c:pt idx="3">
                  <c:v>0.67796610169491522</c:v>
                </c:pt>
                <c:pt idx="4">
                  <c:v>0.67796610169491522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FE1-4D5B-A6D9-6D1BADC36030}"/>
            </c:ext>
          </c:extLst>
        </c:ser>
        <c:ser>
          <c:idx val="2"/>
          <c:order val="2"/>
          <c:tx>
            <c:v>比較手法1</c:v>
          </c:tx>
          <c:marker>
            <c:symbol val="none"/>
          </c:marker>
          <c:val>
            <c:numRef>
              <c:f>Sheet1!$C$19:$C$23</c:f>
              <c:numCache>
                <c:formatCode>General</c:formatCode>
                <c:ptCount val="5"/>
                <c:pt idx="0">
                  <c:v>0.50573162508428859</c:v>
                </c:pt>
                <c:pt idx="1">
                  <c:v>0.50573162508428859</c:v>
                </c:pt>
                <c:pt idx="2">
                  <c:v>0.50573162508428859</c:v>
                </c:pt>
                <c:pt idx="3">
                  <c:v>0.50573162508428859</c:v>
                </c:pt>
                <c:pt idx="4">
                  <c:v>0.50573162508428859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1FE1-4D5B-A6D9-6D1BADC36030}"/>
            </c:ext>
          </c:extLst>
        </c:ser>
        <c:ser>
          <c:idx val="3"/>
          <c:order val="3"/>
          <c:tx>
            <c:v>比較手法2</c:v>
          </c:tx>
          <c:marker>
            <c:symbol val="none"/>
          </c:marker>
          <c:val>
            <c:numRef>
              <c:f>Sheet1!$F$46:$F$50</c:f>
              <c:numCache>
                <c:formatCode>General</c:formatCode>
                <c:ptCount val="5"/>
                <c:pt idx="0">
                  <c:v>0.67900715187210769</c:v>
                </c:pt>
                <c:pt idx="1">
                  <c:v>0.67900715187210769</c:v>
                </c:pt>
                <c:pt idx="2">
                  <c:v>0.67900715187210769</c:v>
                </c:pt>
                <c:pt idx="3">
                  <c:v>0.67900715187210769</c:v>
                </c:pt>
                <c:pt idx="4">
                  <c:v>0.67900715187210769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1FE1-4D5B-A6D9-6D1BADC3603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298780927"/>
        <c:axId val="1298788607"/>
      </c:lineChart>
      <c:catAx>
        <c:axId val="1298780927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ja-JP" altLang="en-US"/>
                  <a:t>レビュー数</a:t>
                </a:r>
                <a:r>
                  <a:rPr lang="en-US" altLang="ja-JP"/>
                  <a:t>N</a:t>
                </a:r>
                <a:endParaRPr lang="ja-JP" altLang="en-US"/>
              </a:p>
            </c:rich>
          </c:tx>
          <c:overlay val="0"/>
          <c:spPr>
            <a:noFill/>
            <a:ln>
              <a:noFill/>
              <a:prstDash val="solid"/>
            </a:ln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298788607"/>
        <c:crosses val="autoZero"/>
        <c:auto val="1"/>
        <c:lblAlgn val="ctr"/>
        <c:lblOffset val="100"/>
        <c:noMultiLvlLbl val="0"/>
      </c:catAx>
      <c:valAx>
        <c:axId val="1298788607"/>
        <c:scaling>
          <c:orientation val="minMax"/>
          <c:min val="0.48000000000000004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ja-JP" baseline="0"/>
                  <a:t>F</a:t>
                </a:r>
                <a:r>
                  <a:rPr lang="ja-JP" altLang="en-US" baseline="0"/>
                  <a:t>値</a:t>
                </a:r>
                <a:endParaRPr lang="en-US" altLang="ja-JP" baseline="0"/>
              </a:p>
            </c:rich>
          </c:tx>
          <c:overlay val="0"/>
          <c:spPr>
            <a:noFill/>
            <a:ln>
              <a:noFill/>
              <a:prstDash val="solid"/>
            </a:ln>
          </c:sp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  <a:prstDash val="solid"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298780927"/>
        <c:crosses val="autoZero"/>
        <c:crossBetween val="between"/>
        <c:majorUnit val="2.0000000000000004E-2"/>
      </c:valAx>
    </c:plotArea>
    <c:legend>
      <c:legendPos val="r"/>
      <c:overlay val="0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1"/>
  <c:style val="2"/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ja-JP" altLang="en-US" sz="1600"/>
              <a:t>被験者</a:t>
            </a:r>
            <a:r>
              <a:rPr lang="en-US" altLang="ja-JP" sz="1600"/>
              <a:t>1</a:t>
            </a:r>
            <a:r>
              <a:rPr lang="ja-JP" altLang="en-US" sz="1600"/>
              <a:t>の適合率</a:t>
            </a:r>
          </a:p>
        </c:rich>
      </c:tx>
      <c:overlay val="0"/>
      <c:spPr>
        <a:noFill/>
        <a:ln>
          <a:noFill/>
          <a:prstDash val="solid"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提案手法1</c:v>
          </c:tx>
          <c:spPr>
            <a:ln w="28575" cap="rnd">
              <a:solidFill>
                <a:schemeClr val="accent1"/>
              </a:solidFill>
              <a:prstDash val="solid"/>
              <a:round/>
            </a:ln>
          </c:spPr>
          <c:marker>
            <c:symbol val="none"/>
          </c:marker>
          <c:cat>
            <c:numRef>
              <c:f>Sheet1!$A$3:$A$7</c:f>
              <c:numCache>
                <c:formatCode>General</c:formatCode>
                <c:ptCount val="5"/>
                <c:pt idx="0">
                  <c:v>100</c:v>
                </c:pt>
                <c:pt idx="1">
                  <c:v>200</c:v>
                </c:pt>
                <c:pt idx="2">
                  <c:v>300</c:v>
                </c:pt>
                <c:pt idx="3">
                  <c:v>400</c:v>
                </c:pt>
                <c:pt idx="4">
                  <c:v>500</c:v>
                </c:pt>
              </c:numCache>
            </c:numRef>
          </c:cat>
          <c:val>
            <c:numRef>
              <c:f>Sheet1!$F$3:$F$7</c:f>
              <c:numCache>
                <c:formatCode>General</c:formatCode>
                <c:ptCount val="5"/>
                <c:pt idx="0">
                  <c:v>0.57645875251509049</c:v>
                </c:pt>
                <c:pt idx="1">
                  <c:v>0.59667852906287067</c:v>
                </c:pt>
                <c:pt idx="2">
                  <c:v>0.55187319884726227</c:v>
                </c:pt>
                <c:pt idx="3">
                  <c:v>0.55485893416927901</c:v>
                </c:pt>
                <c:pt idx="4">
                  <c:v>0.53944836433611287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6B9-431B-8B8B-8681B43EEA2F}"/>
            </c:ext>
          </c:extLst>
        </c:ser>
        <c:ser>
          <c:idx val="1"/>
          <c:order val="1"/>
          <c:tx>
            <c:v>提案手法2</c:v>
          </c:tx>
          <c:marker>
            <c:symbol val="none"/>
          </c:marker>
          <c:val>
            <c:numRef>
              <c:f>Sheet1!$D$3:$D$7</c:f>
              <c:numCache>
                <c:formatCode>General</c:formatCode>
                <c:ptCount val="5"/>
                <c:pt idx="0">
                  <c:v>0.53805774278215224</c:v>
                </c:pt>
                <c:pt idx="1">
                  <c:v>0.53805774278215224</c:v>
                </c:pt>
                <c:pt idx="2">
                  <c:v>0.53805774278215224</c:v>
                </c:pt>
                <c:pt idx="3">
                  <c:v>0.53805774278215224</c:v>
                </c:pt>
                <c:pt idx="4">
                  <c:v>0.53805774278215224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3E0-4CF2-BA65-F19102946400}"/>
            </c:ext>
          </c:extLst>
        </c:ser>
        <c:ser>
          <c:idx val="2"/>
          <c:order val="2"/>
          <c:tx>
            <c:v>比較手法1</c:v>
          </c:tx>
          <c:marker>
            <c:symbol val="none"/>
          </c:marker>
          <c:val>
            <c:numRef>
              <c:f>Sheet1!$C$3:$C$7</c:f>
              <c:numCache>
                <c:formatCode>General</c:formatCode>
                <c:ptCount val="5"/>
                <c:pt idx="0">
                  <c:v>0.63775510204081631</c:v>
                </c:pt>
                <c:pt idx="1">
                  <c:v>0.63775510204081631</c:v>
                </c:pt>
                <c:pt idx="2">
                  <c:v>0.63775510204081631</c:v>
                </c:pt>
                <c:pt idx="3">
                  <c:v>0.63775510204081631</c:v>
                </c:pt>
                <c:pt idx="4">
                  <c:v>0.63775510204081631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93E0-4CF2-BA65-F19102946400}"/>
            </c:ext>
          </c:extLst>
        </c:ser>
        <c:ser>
          <c:idx val="3"/>
          <c:order val="3"/>
          <c:tx>
            <c:v>比較手法2</c:v>
          </c:tx>
          <c:marker>
            <c:symbol val="none"/>
          </c:marker>
          <c:val>
            <c:numRef>
              <c:f>Sheet1!$F$32:$F$36</c:f>
              <c:numCache>
                <c:formatCode>General</c:formatCode>
                <c:ptCount val="5"/>
                <c:pt idx="0">
                  <c:v>0.54453441295546556</c:v>
                </c:pt>
                <c:pt idx="1">
                  <c:v>0.5453951665578054</c:v>
                </c:pt>
                <c:pt idx="2">
                  <c:v>0.54453441295546556</c:v>
                </c:pt>
                <c:pt idx="3">
                  <c:v>0.54453441295546556</c:v>
                </c:pt>
                <c:pt idx="4">
                  <c:v>0.54453441295546556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93E0-4CF2-BA65-F1910294640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143225135"/>
        <c:axId val="1143225615"/>
      </c:lineChart>
      <c:catAx>
        <c:axId val="1143225135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ja-JP" altLang="en-US"/>
                  <a:t>レビュー数</a:t>
                </a:r>
                <a:r>
                  <a:rPr lang="en-US" altLang="ja-JP"/>
                  <a:t>N</a:t>
                </a:r>
                <a:endParaRPr lang="ja-JP" altLang="en-US"/>
              </a:p>
            </c:rich>
          </c:tx>
          <c:overlay val="0"/>
          <c:spPr>
            <a:noFill/>
            <a:ln>
              <a:noFill/>
              <a:prstDash val="solid"/>
            </a:ln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143225615"/>
        <c:crosses val="autoZero"/>
        <c:auto val="1"/>
        <c:lblAlgn val="ctr"/>
        <c:lblOffset val="100"/>
        <c:noMultiLvlLbl val="0"/>
      </c:catAx>
      <c:valAx>
        <c:axId val="114322561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ja-JP" altLang="en-US"/>
                  <a:t>適合率</a:t>
                </a:r>
              </a:p>
            </c:rich>
          </c:tx>
          <c:overlay val="0"/>
          <c:spPr>
            <a:noFill/>
            <a:ln>
              <a:noFill/>
              <a:prstDash val="solid"/>
            </a:ln>
          </c:sp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  <a:prstDash val="solid"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143225135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1"/>
  <c:style val="2"/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ja-JP" altLang="en-US" sz="1800"/>
              <a:t>被験者</a:t>
            </a:r>
            <a:r>
              <a:rPr lang="en-US" altLang="ja-JP" sz="1800"/>
              <a:t>1</a:t>
            </a:r>
            <a:r>
              <a:rPr lang="ja-JP" altLang="en-US" sz="1800"/>
              <a:t>の再現率</a:t>
            </a:r>
            <a:endParaRPr lang="en-US" altLang="ja-JP" sz="1800"/>
          </a:p>
        </c:rich>
      </c:tx>
      <c:overlay val="0"/>
      <c:spPr>
        <a:noFill/>
        <a:ln>
          <a:noFill/>
          <a:prstDash val="solid"/>
        </a:ln>
      </c:spPr>
    </c:title>
    <c:autoTitleDeleted val="0"/>
    <c:plotArea>
      <c:layout>
        <c:manualLayout>
          <c:layoutTarget val="inner"/>
          <c:xMode val="edge"/>
          <c:yMode val="edge"/>
          <c:x val="0.15710870516185479"/>
          <c:y val="0.22740740740740739"/>
          <c:w val="0.81233573928258973"/>
          <c:h val="0.54181357538641006"/>
        </c:manualLayout>
      </c:layout>
      <c:lineChart>
        <c:grouping val="standard"/>
        <c:varyColors val="0"/>
        <c:ser>
          <c:idx val="0"/>
          <c:order val="0"/>
          <c:tx>
            <c:v>提案手法1</c:v>
          </c:tx>
          <c:spPr>
            <a:ln w="28575" cap="rnd">
              <a:solidFill>
                <a:schemeClr val="accent1"/>
              </a:solidFill>
              <a:prstDash val="solid"/>
              <a:round/>
            </a:ln>
          </c:spPr>
          <c:marker>
            <c:symbol val="none"/>
          </c:marker>
          <c:cat>
            <c:numRef>
              <c:f>Sheet1!$A$3:$A$7</c:f>
              <c:numCache>
                <c:formatCode>General</c:formatCode>
                <c:ptCount val="5"/>
                <c:pt idx="0">
                  <c:v>100</c:v>
                </c:pt>
                <c:pt idx="1">
                  <c:v>200</c:v>
                </c:pt>
                <c:pt idx="2">
                  <c:v>300</c:v>
                </c:pt>
                <c:pt idx="3">
                  <c:v>400</c:v>
                </c:pt>
                <c:pt idx="4">
                  <c:v>500</c:v>
                </c:pt>
              </c:numCache>
            </c:numRef>
          </c:cat>
          <c:val>
            <c:numRef>
              <c:f>Sheet1!$F$11:$F$15</c:f>
              <c:numCache>
                <c:formatCode>General</c:formatCode>
                <c:ptCount val="5"/>
                <c:pt idx="0">
                  <c:v>0.64022346368715088</c:v>
                </c:pt>
                <c:pt idx="1">
                  <c:v>0.56201117318435756</c:v>
                </c:pt>
                <c:pt idx="2">
                  <c:v>0.85586592178770948</c:v>
                </c:pt>
                <c:pt idx="3">
                  <c:v>0.79106145251396653</c:v>
                </c:pt>
                <c:pt idx="4">
                  <c:v>0.9396648044692737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872-4188-BBEF-3EE7A829A57C}"/>
            </c:ext>
          </c:extLst>
        </c:ser>
        <c:ser>
          <c:idx val="1"/>
          <c:order val="1"/>
          <c:tx>
            <c:v>提案手法2</c:v>
          </c:tx>
          <c:marker>
            <c:symbol val="none"/>
          </c:marker>
          <c:val>
            <c:numRef>
              <c:f>Sheet1!$D$11:$D$15</c:f>
              <c:numCache>
                <c:formatCode>General</c:formatCode>
                <c:ptCount val="5"/>
                <c:pt idx="0">
                  <c:v>0.91620111731843579</c:v>
                </c:pt>
                <c:pt idx="1">
                  <c:v>0.91620111731843579</c:v>
                </c:pt>
                <c:pt idx="2">
                  <c:v>0.91620111731843579</c:v>
                </c:pt>
                <c:pt idx="3">
                  <c:v>0.91620111731843579</c:v>
                </c:pt>
                <c:pt idx="4">
                  <c:v>0.91620111731843579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4DBD-4B7E-B286-FF85261D0468}"/>
            </c:ext>
          </c:extLst>
        </c:ser>
        <c:ser>
          <c:idx val="2"/>
          <c:order val="2"/>
          <c:tx>
            <c:v>比較手法1</c:v>
          </c:tx>
          <c:marker>
            <c:symbol val="none"/>
          </c:marker>
          <c:val>
            <c:numRef>
              <c:f>Sheet1!$C$11:$C$15</c:f>
              <c:numCache>
                <c:formatCode>General</c:formatCode>
                <c:ptCount val="5"/>
                <c:pt idx="0">
                  <c:v>0.41899441340782118</c:v>
                </c:pt>
                <c:pt idx="1">
                  <c:v>0.41899441340782118</c:v>
                </c:pt>
                <c:pt idx="2">
                  <c:v>0.41899441340782118</c:v>
                </c:pt>
                <c:pt idx="3">
                  <c:v>0.41899441340782118</c:v>
                </c:pt>
                <c:pt idx="4">
                  <c:v>0.41899441340782118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4DBD-4B7E-B286-FF85261D0468}"/>
            </c:ext>
          </c:extLst>
        </c:ser>
        <c:ser>
          <c:idx val="3"/>
          <c:order val="3"/>
          <c:tx>
            <c:v>比較手法2</c:v>
          </c:tx>
          <c:marker>
            <c:symbol val="none"/>
          </c:marker>
          <c:val>
            <c:numRef>
              <c:f>Sheet1!$F$39:$F$43</c:f>
              <c:numCache>
                <c:formatCode>General</c:formatCode>
                <c:ptCount val="5"/>
                <c:pt idx="0">
                  <c:v>0.90167597765363094</c:v>
                </c:pt>
                <c:pt idx="1">
                  <c:v>0.90167597765363128</c:v>
                </c:pt>
                <c:pt idx="2">
                  <c:v>0.90167597765363128</c:v>
                </c:pt>
                <c:pt idx="3">
                  <c:v>0.90167597765363128</c:v>
                </c:pt>
                <c:pt idx="4">
                  <c:v>0.90167597765363128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4DBD-4B7E-B286-FF85261D046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143225135"/>
        <c:axId val="1143225615"/>
      </c:lineChart>
      <c:catAx>
        <c:axId val="1143225135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ja-JP" altLang="en-US"/>
                  <a:t>レビュー数</a:t>
                </a:r>
                <a:r>
                  <a:rPr lang="en-US" altLang="ja-JP"/>
                  <a:t>N</a:t>
                </a:r>
                <a:endParaRPr lang="ja-JP" altLang="en-US"/>
              </a:p>
            </c:rich>
          </c:tx>
          <c:overlay val="0"/>
          <c:spPr>
            <a:noFill/>
            <a:ln>
              <a:noFill/>
              <a:prstDash val="solid"/>
            </a:ln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143225615"/>
        <c:crosses val="autoZero"/>
        <c:auto val="1"/>
        <c:lblAlgn val="ctr"/>
        <c:lblOffset val="100"/>
        <c:noMultiLvlLbl val="0"/>
      </c:catAx>
      <c:valAx>
        <c:axId val="1143225615"/>
        <c:scaling>
          <c:orientation val="minMax"/>
          <c:min val="0.4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ja-JP" altLang="en-US"/>
                  <a:t>再現率</a:t>
                </a:r>
                <a:endParaRPr lang="en-US" altLang="ja-JP"/>
              </a:p>
            </c:rich>
          </c:tx>
          <c:overlay val="0"/>
          <c:spPr>
            <a:noFill/>
            <a:ln>
              <a:noFill/>
              <a:prstDash val="solid"/>
            </a:ln>
          </c:sp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  <a:prstDash val="solid"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143225135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220980</xdr:colOff>
      <xdr:row>30</xdr:row>
      <xdr:rowOff>198120</xdr:rowOff>
    </xdr:from>
    <xdr:to>
      <xdr:col>14</xdr:col>
      <xdr:colOff>487680</xdr:colOff>
      <xdr:row>46</xdr:row>
      <xdr:rowOff>83820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179070</xdr:colOff>
      <xdr:row>1</xdr:row>
      <xdr:rowOff>182880</xdr:rowOff>
    </xdr:from>
    <xdr:to>
      <xdr:col>14</xdr:col>
      <xdr:colOff>472440</xdr:colOff>
      <xdr:row>14</xdr:row>
      <xdr:rowOff>83820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7</xdr:col>
      <xdr:colOff>220980</xdr:colOff>
      <xdr:row>15</xdr:row>
      <xdr:rowOff>205740</xdr:rowOff>
    </xdr:from>
    <xdr:to>
      <xdr:col>14</xdr:col>
      <xdr:colOff>495300</xdr:colOff>
      <xdr:row>28</xdr:row>
      <xdr:rowOff>190500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73"/>
  <sheetViews>
    <sheetView tabSelected="1" topLeftCell="C12" workbookViewId="0">
      <selection activeCell="P27" sqref="P27"/>
    </sheetView>
  </sheetViews>
  <sheetFormatPr defaultRowHeight="18" x14ac:dyDescent="0.45"/>
  <cols>
    <col min="2" max="2" width="13.69921875" style="1" customWidth="1"/>
    <col min="3" max="3" width="25.19921875" style="1" bestFit="1" customWidth="1"/>
    <col min="4" max="4" width="27.19921875" style="1" bestFit="1" customWidth="1"/>
    <col min="5" max="5" width="27.8984375" style="1" customWidth="1"/>
    <col min="6" max="6" width="28.3984375" style="1" customWidth="1"/>
  </cols>
  <sheetData>
    <row r="1" spans="1:7" x14ac:dyDescent="0.45">
      <c r="B1" t="s">
        <v>0</v>
      </c>
    </row>
    <row r="2" spans="1:7" x14ac:dyDescent="0.45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</row>
    <row r="3" spans="1:7" x14ac:dyDescent="0.45">
      <c r="A3">
        <v>100</v>
      </c>
      <c r="B3">
        <v>0.66666666666666663</v>
      </c>
      <c r="C3">
        <v>0.63775510204081631</v>
      </c>
      <c r="D3">
        <v>0.53805774278215224</v>
      </c>
      <c r="E3">
        <v>0.54095238095238096</v>
      </c>
      <c r="F3">
        <v>0.57645875251509049</v>
      </c>
    </row>
    <row r="4" spans="1:7" x14ac:dyDescent="0.45">
      <c r="A4">
        <v>200</v>
      </c>
      <c r="B4">
        <v>0.66666666666666663</v>
      </c>
      <c r="C4">
        <v>0.63775510204081631</v>
      </c>
      <c r="D4">
        <v>0.53805774278215224</v>
      </c>
      <c r="E4">
        <v>0.54354736172917995</v>
      </c>
      <c r="F4" s="7">
        <v>0.59667852906287067</v>
      </c>
    </row>
    <row r="5" spans="1:7" x14ac:dyDescent="0.45">
      <c r="A5">
        <v>300</v>
      </c>
      <c r="B5">
        <v>0.66666666666666663</v>
      </c>
      <c r="C5">
        <v>0.63775510204081631</v>
      </c>
      <c r="D5">
        <v>0.53805774278215224</v>
      </c>
      <c r="E5">
        <v>0.53992146596858637</v>
      </c>
      <c r="F5">
        <v>0.55187319884726227</v>
      </c>
    </row>
    <row r="6" spans="1:7" x14ac:dyDescent="0.45">
      <c r="A6">
        <v>400</v>
      </c>
      <c r="B6">
        <v>0.66666666666666663</v>
      </c>
      <c r="C6">
        <v>0.63775510204081631</v>
      </c>
      <c r="D6">
        <v>0.53805774278215224</v>
      </c>
      <c r="E6">
        <v>0.54240506329113924</v>
      </c>
      <c r="F6">
        <v>0.55485893416927901</v>
      </c>
    </row>
    <row r="7" spans="1:7" x14ac:dyDescent="0.45">
      <c r="A7">
        <v>500</v>
      </c>
      <c r="B7">
        <v>0.66666666666666663</v>
      </c>
      <c r="C7">
        <v>0.63775510204081631</v>
      </c>
      <c r="D7">
        <v>0.53805774278215224</v>
      </c>
      <c r="E7">
        <v>0.5412960609911055</v>
      </c>
      <c r="F7">
        <v>0.53944836433611287</v>
      </c>
    </row>
    <row r="8" spans="1:7" x14ac:dyDescent="0.45">
      <c r="A8">
        <v>555</v>
      </c>
      <c r="B8">
        <v>0.66666666666666663</v>
      </c>
      <c r="C8">
        <v>0.63775510204081631</v>
      </c>
      <c r="D8">
        <v>0.53805774278215224</v>
      </c>
      <c r="E8">
        <v>0.54304635761589404</v>
      </c>
    </row>
    <row r="9" spans="1:7" x14ac:dyDescent="0.45">
      <c r="B9"/>
      <c r="C9"/>
      <c r="D9"/>
      <c r="E9" s="5">
        <v>0.53924050632911391</v>
      </c>
      <c r="F9">
        <f>AVERAGE(F3:F7)</f>
        <v>0.56386355578612313</v>
      </c>
      <c r="G9" t="s">
        <v>7</v>
      </c>
    </row>
    <row r="10" spans="1:7" x14ac:dyDescent="0.45">
      <c r="B10" t="s">
        <v>8</v>
      </c>
      <c r="E10">
        <v>0.53875236294896034</v>
      </c>
    </row>
    <row r="11" spans="1:7" x14ac:dyDescent="0.45">
      <c r="A11">
        <v>100</v>
      </c>
      <c r="B11">
        <f t="shared" ref="B11:B16" si="0">(B3*B19)/(2*B3-B19)</f>
        <v>1.1254019292604505E-2</v>
      </c>
      <c r="C11">
        <v>0.41899441340782118</v>
      </c>
      <c r="D11">
        <v>0.91620111731843579</v>
      </c>
      <c r="E11">
        <v>0.54280155642023342</v>
      </c>
      <c r="F11">
        <v>0.64022346368715088</v>
      </c>
    </row>
    <row r="12" spans="1:7" x14ac:dyDescent="0.45">
      <c r="A12">
        <v>200</v>
      </c>
      <c r="B12">
        <f t="shared" si="0"/>
        <v>1.1254019292604505E-2</v>
      </c>
      <c r="C12">
        <v>0.41899441340782118</v>
      </c>
      <c r="D12">
        <v>0.91620111731843579</v>
      </c>
      <c r="E12">
        <v>0.54198966408268734</v>
      </c>
      <c r="F12">
        <v>0.56201117318435756</v>
      </c>
    </row>
    <row r="13" spans="1:7" x14ac:dyDescent="0.45">
      <c r="A13">
        <v>300</v>
      </c>
      <c r="B13">
        <f t="shared" si="0"/>
        <v>1.1254019292604505E-2</v>
      </c>
      <c r="C13">
        <v>0.41899441340782118</v>
      </c>
      <c r="D13">
        <v>0.91620111731843579</v>
      </c>
      <c r="E13" s="6">
        <f>AVERAGE(E3:E12)</f>
        <v>0.54139527803292808</v>
      </c>
      <c r="F13">
        <v>0.85586592178770948</v>
      </c>
    </row>
    <row r="14" spans="1:7" x14ac:dyDescent="0.45">
      <c r="A14">
        <v>400</v>
      </c>
      <c r="B14">
        <f t="shared" si="0"/>
        <v>1.1254019292604505E-2</v>
      </c>
      <c r="C14">
        <v>0.41899441340782118</v>
      </c>
      <c r="D14">
        <v>0.91620111731843579</v>
      </c>
      <c r="F14">
        <v>0.79106145251396653</v>
      </c>
    </row>
    <row r="15" spans="1:7" x14ac:dyDescent="0.45">
      <c r="A15">
        <v>500</v>
      </c>
      <c r="B15">
        <f t="shared" si="0"/>
        <v>1.1254019292604505E-2</v>
      </c>
      <c r="C15">
        <v>0.41899441340782118</v>
      </c>
      <c r="D15">
        <v>0.91620111731843579</v>
      </c>
      <c r="E15">
        <v>0.95195530726257005</v>
      </c>
      <c r="F15" s="7">
        <v>0.9396648044692737</v>
      </c>
    </row>
    <row r="16" spans="1:7" x14ac:dyDescent="0.45">
      <c r="A16">
        <v>555</v>
      </c>
      <c r="B16">
        <f t="shared" si="0"/>
        <v>1.1254019292604505E-2</v>
      </c>
      <c r="C16">
        <v>0.41899441340782118</v>
      </c>
      <c r="D16">
        <v>0.91620111731843579</v>
      </c>
      <c r="E16">
        <v>0.95530726256983245</v>
      </c>
    </row>
    <row r="17" spans="1:7" x14ac:dyDescent="0.45">
      <c r="B17"/>
      <c r="C17"/>
      <c r="D17"/>
      <c r="E17">
        <v>0.92178770949720668</v>
      </c>
      <c r="F17">
        <f>AVERAGE(F11:F15)</f>
        <v>0.75776536312849174</v>
      </c>
      <c r="G17" t="s">
        <v>7</v>
      </c>
    </row>
    <row r="18" spans="1:7" x14ac:dyDescent="0.45">
      <c r="B18" t="s">
        <v>9</v>
      </c>
      <c r="E18">
        <v>0.95754189944134083</v>
      </c>
    </row>
    <row r="19" spans="1:7" x14ac:dyDescent="0.45">
      <c r="A19">
        <v>100</v>
      </c>
      <c r="B19">
        <v>2.213438735177866E-2</v>
      </c>
      <c r="C19">
        <v>0.50573162508428859</v>
      </c>
      <c r="D19">
        <v>0.67796610169491522</v>
      </c>
      <c r="E19">
        <v>0.95195530726256983</v>
      </c>
      <c r="F19">
        <v>0.60667019587083115</v>
      </c>
    </row>
    <row r="20" spans="1:7" x14ac:dyDescent="0.45">
      <c r="A20">
        <v>200</v>
      </c>
      <c r="B20">
        <v>2.213438735177866E-2</v>
      </c>
      <c r="C20">
        <v>0.50573162508428859</v>
      </c>
      <c r="D20">
        <v>0.67796610169491522</v>
      </c>
      <c r="E20">
        <v>0.91620111731843579</v>
      </c>
      <c r="F20">
        <v>0.5788262370540852</v>
      </c>
    </row>
    <row r="21" spans="1:7" x14ac:dyDescent="0.45">
      <c r="A21">
        <v>300</v>
      </c>
      <c r="B21">
        <v>2.213438735177866E-2</v>
      </c>
      <c r="C21">
        <v>0.50573162508428859</v>
      </c>
      <c r="D21">
        <v>0.67796610169491522</v>
      </c>
      <c r="E21">
        <v>0.95195530726256983</v>
      </c>
      <c r="F21">
        <v>0.67104686815593517</v>
      </c>
    </row>
    <row r="22" spans="1:7" x14ac:dyDescent="0.45">
      <c r="A22">
        <v>400</v>
      </c>
      <c r="B22">
        <v>2.213438735177866E-2</v>
      </c>
      <c r="C22">
        <v>0.50573162508428859</v>
      </c>
      <c r="D22">
        <v>0.67796610169491522</v>
      </c>
      <c r="E22">
        <v>0.95530726256983245</v>
      </c>
      <c r="F22">
        <v>0.6522339935513588</v>
      </c>
    </row>
    <row r="23" spans="1:7" ht="17.399999999999999" customHeight="1" x14ac:dyDescent="0.45">
      <c r="A23">
        <v>500</v>
      </c>
      <c r="B23">
        <v>2.213438735177866E-2</v>
      </c>
      <c r="C23">
        <v>0.50573162508428859</v>
      </c>
      <c r="D23">
        <v>0.67796610169491522</v>
      </c>
      <c r="E23">
        <v>0.93519553072625694</v>
      </c>
      <c r="F23" s="7">
        <v>0.68541157294213528</v>
      </c>
    </row>
    <row r="24" spans="1:7" x14ac:dyDescent="0.45">
      <c r="A24">
        <v>555</v>
      </c>
      <c r="B24">
        <v>2.213438735177866E-2</v>
      </c>
      <c r="C24">
        <v>0.50573162508428859</v>
      </c>
      <c r="D24">
        <v>0.67796610169491522</v>
      </c>
      <c r="E24">
        <v>0.93743016759776532</v>
      </c>
    </row>
    <row r="25" spans="1:7" x14ac:dyDescent="0.45">
      <c r="B25"/>
      <c r="C25"/>
      <c r="D25" s="5" t="s">
        <v>11</v>
      </c>
      <c r="E25" s="6">
        <f>AVERAGE(E15:E24)</f>
        <v>0.94346368715083795</v>
      </c>
      <c r="F25">
        <f>AVERAGE(F19:F23)</f>
        <v>0.63883777351486914</v>
      </c>
      <c r="G25" t="s">
        <v>7</v>
      </c>
    </row>
    <row r="27" spans="1:7" x14ac:dyDescent="0.45">
      <c r="B27" s="1" t="s">
        <v>13</v>
      </c>
      <c r="E27">
        <v>0.68987854251012104</v>
      </c>
    </row>
    <row r="28" spans="1:7" x14ac:dyDescent="0.45">
      <c r="B28" s="1" t="s">
        <v>12</v>
      </c>
      <c r="E28">
        <v>0.69286871961102103</v>
      </c>
    </row>
    <row r="29" spans="1:7" x14ac:dyDescent="0.45">
      <c r="E29">
        <v>0.68097399917457702</v>
      </c>
    </row>
    <row r="30" spans="1:7" x14ac:dyDescent="0.45">
      <c r="E30">
        <v>0.69252525252525254</v>
      </c>
    </row>
    <row r="31" spans="1:7" x14ac:dyDescent="0.45">
      <c r="E31">
        <v>0.69015795868772778</v>
      </c>
    </row>
    <row r="32" spans="1:7" x14ac:dyDescent="0.45">
      <c r="E32">
        <v>0.68191268191268195</v>
      </c>
      <c r="F32">
        <v>0.54453441295546556</v>
      </c>
    </row>
    <row r="33" spans="4:6" x14ac:dyDescent="0.45">
      <c r="E33">
        <v>0.68848484848484848</v>
      </c>
      <c r="F33">
        <v>0.5453951665578054</v>
      </c>
    </row>
    <row r="34" spans="4:6" x14ac:dyDescent="0.45">
      <c r="E34">
        <v>0.68896051571313455</v>
      </c>
      <c r="F34">
        <v>0.54453441295546556</v>
      </c>
    </row>
    <row r="35" spans="4:6" x14ac:dyDescent="0.45">
      <c r="E35">
        <v>0.68691013541239232</v>
      </c>
      <c r="F35">
        <v>0.54453441295546556</v>
      </c>
    </row>
    <row r="36" spans="4:6" x14ac:dyDescent="0.45">
      <c r="E36">
        <v>0.68686041751944327</v>
      </c>
      <c r="F36">
        <v>0.54453441295546556</v>
      </c>
    </row>
    <row r="37" spans="4:6" x14ac:dyDescent="0.45">
      <c r="D37" s="5" t="s">
        <v>11</v>
      </c>
      <c r="E37" s="1">
        <f>AVERAGE(E27:E36)</f>
        <v>0.68795330715512004</v>
      </c>
      <c r="F37">
        <v>0.54453441295546556</v>
      </c>
    </row>
    <row r="39" spans="4:6" x14ac:dyDescent="0.45">
      <c r="F39">
        <v>0.90167597765363094</v>
      </c>
    </row>
    <row r="40" spans="4:6" x14ac:dyDescent="0.45">
      <c r="F40">
        <v>0.90167597765363128</v>
      </c>
    </row>
    <row r="41" spans="4:6" x14ac:dyDescent="0.45">
      <c r="F41">
        <v>0.90167597765363128</v>
      </c>
    </row>
    <row r="42" spans="4:6" x14ac:dyDescent="0.45">
      <c r="F42">
        <v>0.90167597765363128</v>
      </c>
    </row>
    <row r="43" spans="4:6" x14ac:dyDescent="0.45">
      <c r="F43">
        <v>0.90167597765363128</v>
      </c>
    </row>
    <row r="44" spans="4:6" x14ac:dyDescent="0.45">
      <c r="F44">
        <v>0.90167597765363128</v>
      </c>
    </row>
    <row r="46" spans="4:6" x14ac:dyDescent="0.45">
      <c r="F46">
        <v>0.67900715187210769</v>
      </c>
    </row>
    <row r="47" spans="4:6" x14ac:dyDescent="0.45">
      <c r="F47">
        <v>0.67900715187210769</v>
      </c>
    </row>
    <row r="48" spans="4:6" x14ac:dyDescent="0.45">
      <c r="F48">
        <v>0.67900715187210769</v>
      </c>
    </row>
    <row r="49" spans="2:6" x14ac:dyDescent="0.45">
      <c r="F49">
        <v>0.67900715187210769</v>
      </c>
    </row>
    <row r="50" spans="2:6" x14ac:dyDescent="0.45">
      <c r="F50">
        <v>0.67900715187210769</v>
      </c>
    </row>
    <row r="51" spans="2:6" x14ac:dyDescent="0.45">
      <c r="B51" t="s">
        <v>10</v>
      </c>
      <c r="C51"/>
      <c r="F51">
        <v>0.67900715187210769</v>
      </c>
    </row>
    <row r="52" spans="2:6" x14ac:dyDescent="0.45">
      <c r="B52" t="s">
        <v>0</v>
      </c>
      <c r="C52" t="s">
        <v>8</v>
      </c>
      <c r="D52" t="s">
        <v>9</v>
      </c>
    </row>
    <row r="53" spans="2:6" x14ac:dyDescent="0.45">
      <c r="B53">
        <v>0.57142857142857095</v>
      </c>
      <c r="C53">
        <f t="shared" ref="C53:C72" si="1">(B53*D53)/(2*B53-D53)</f>
        <v>5.6236192006427002E-3</v>
      </c>
      <c r="D53">
        <v>1.1137629276054099E-2</v>
      </c>
    </row>
    <row r="54" spans="2:6" x14ac:dyDescent="0.45">
      <c r="B54">
        <v>0.66666666666666663</v>
      </c>
      <c r="C54">
        <f t="shared" si="1"/>
        <v>1.1254019292604505E-2</v>
      </c>
      <c r="D54">
        <v>2.213438735177866E-2</v>
      </c>
    </row>
    <row r="55" spans="2:6" x14ac:dyDescent="0.45">
      <c r="B55">
        <v>0.66666666666666663</v>
      </c>
      <c r="C55">
        <f t="shared" si="1"/>
        <v>1.1254019292604505E-2</v>
      </c>
      <c r="D55">
        <v>2.213438735177866E-2</v>
      </c>
    </row>
    <row r="56" spans="2:6" x14ac:dyDescent="0.45">
      <c r="B56">
        <v>0.66666666666666663</v>
      </c>
      <c r="C56">
        <f t="shared" si="1"/>
        <v>1.1254019292604505E-2</v>
      </c>
      <c r="D56">
        <v>2.213438735177866E-2</v>
      </c>
    </row>
    <row r="57" spans="2:6" x14ac:dyDescent="0.45">
      <c r="B57">
        <v>0.66666666666666663</v>
      </c>
      <c r="C57">
        <f t="shared" si="1"/>
        <v>1.1254019292604505E-2</v>
      </c>
      <c r="D57">
        <v>2.213438735177866E-2</v>
      </c>
    </row>
    <row r="58" spans="2:6" x14ac:dyDescent="0.45">
      <c r="B58">
        <v>0.66666666666666663</v>
      </c>
      <c r="C58">
        <f t="shared" si="1"/>
        <v>1.1254019292604505E-2</v>
      </c>
      <c r="D58">
        <v>2.213438735177866E-2</v>
      </c>
    </row>
    <row r="59" spans="2:6" x14ac:dyDescent="0.45">
      <c r="B59">
        <v>0.66666666666666663</v>
      </c>
      <c r="C59">
        <f t="shared" si="1"/>
        <v>1.1254019292604505E-2</v>
      </c>
      <c r="D59">
        <v>2.213438735177866E-2</v>
      </c>
    </row>
    <row r="60" spans="2:6" x14ac:dyDescent="0.45">
      <c r="B60">
        <v>0.6428571428571429</v>
      </c>
      <c r="C60">
        <f t="shared" si="1"/>
        <v>1.0452027872074327E-2</v>
      </c>
      <c r="D60">
        <v>2.0569620253164559E-2</v>
      </c>
    </row>
    <row r="61" spans="2:6" x14ac:dyDescent="0.45">
      <c r="B61">
        <v>0.66666666666666663</v>
      </c>
      <c r="C61">
        <f t="shared" si="1"/>
        <v>1.1254019292604505E-2</v>
      </c>
      <c r="D61">
        <v>2.213438735177866E-2</v>
      </c>
    </row>
    <row r="62" spans="2:6" x14ac:dyDescent="0.45">
      <c r="B62">
        <v>0.66666666666666663</v>
      </c>
      <c r="C62">
        <f t="shared" si="1"/>
        <v>1.1254019292604505E-2</v>
      </c>
      <c r="D62">
        <v>2.213438735177866E-2</v>
      </c>
    </row>
    <row r="63" spans="2:6" x14ac:dyDescent="0.45">
      <c r="B63">
        <v>0.66666666666666663</v>
      </c>
      <c r="C63">
        <f t="shared" si="1"/>
        <v>1.1254019292604505E-2</v>
      </c>
      <c r="D63">
        <v>2.213438735177866E-2</v>
      </c>
    </row>
    <row r="64" spans="2:6" x14ac:dyDescent="0.45">
      <c r="B64">
        <v>0.66666666666666663</v>
      </c>
      <c r="C64">
        <f t="shared" si="1"/>
        <v>1.1254019292604505E-2</v>
      </c>
      <c r="D64">
        <v>2.213438735177866E-2</v>
      </c>
    </row>
    <row r="65" spans="1:4" x14ac:dyDescent="0.45">
      <c r="B65">
        <v>0.66666666666666663</v>
      </c>
      <c r="C65">
        <f t="shared" si="1"/>
        <v>1.1254019292604505E-2</v>
      </c>
      <c r="D65">
        <v>2.213438735177866E-2</v>
      </c>
    </row>
    <row r="66" spans="1:4" x14ac:dyDescent="0.45">
      <c r="B66">
        <v>0.66666666666666663</v>
      </c>
      <c r="C66">
        <f t="shared" si="1"/>
        <v>1.1254019292604505E-2</v>
      </c>
      <c r="D66">
        <v>2.213438735177866E-2</v>
      </c>
    </row>
    <row r="67" spans="1:4" x14ac:dyDescent="0.45">
      <c r="B67">
        <v>0.66666666666666663</v>
      </c>
      <c r="C67">
        <f t="shared" si="1"/>
        <v>1.1254019292604505E-2</v>
      </c>
      <c r="D67">
        <v>2.213438735177866E-2</v>
      </c>
    </row>
    <row r="68" spans="1:4" x14ac:dyDescent="0.45">
      <c r="B68">
        <v>0.66666666666666663</v>
      </c>
      <c r="C68">
        <f t="shared" si="1"/>
        <v>1.1254019292604505E-2</v>
      </c>
      <c r="D68">
        <v>2.213438735177866E-2</v>
      </c>
    </row>
    <row r="69" spans="1:4" x14ac:dyDescent="0.45">
      <c r="B69">
        <v>0.66666666666666663</v>
      </c>
      <c r="C69">
        <f t="shared" si="1"/>
        <v>1.1254019292604505E-2</v>
      </c>
      <c r="D69">
        <v>2.213438735177866E-2</v>
      </c>
    </row>
    <row r="70" spans="1:4" x14ac:dyDescent="0.45">
      <c r="B70">
        <v>0.66666666666666663</v>
      </c>
      <c r="C70">
        <f t="shared" si="1"/>
        <v>1.1254019292604505E-2</v>
      </c>
      <c r="D70">
        <v>2.213438735177866E-2</v>
      </c>
    </row>
    <row r="71" spans="1:4" x14ac:dyDescent="0.45">
      <c r="B71">
        <v>0.66666666666666663</v>
      </c>
      <c r="C71">
        <f t="shared" si="1"/>
        <v>1.1254019292604505E-2</v>
      </c>
      <c r="D71">
        <v>2.213438735177866E-2</v>
      </c>
    </row>
    <row r="72" spans="1:4" ht="19.5" customHeight="1" thickBot="1" x14ac:dyDescent="0.5">
      <c r="B72">
        <v>0.66666666666666663</v>
      </c>
      <c r="C72">
        <f t="shared" si="1"/>
        <v>1.1254019292604505E-2</v>
      </c>
      <c r="D72">
        <v>2.213438735177866E-2</v>
      </c>
    </row>
    <row r="73" spans="1:4" ht="19.5" customHeight="1" thickBot="1" x14ac:dyDescent="0.5">
      <c r="A73" s="2" t="s">
        <v>7</v>
      </c>
      <c r="B73" s="3">
        <f>AVERAGE(B53:B72)</f>
        <v>0.66071428571428548</v>
      </c>
      <c r="C73" s="3">
        <f>AVERAGE(C53:C72)</f>
        <v>1.0932399716979905E-2</v>
      </c>
      <c r="D73" s="4">
        <f>AVERAGE(D53:D72)</f>
        <v>2.1506311093061718E-2</v>
      </c>
    </row>
  </sheetData>
  <phoneticPr fontId="1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大藪　一馬</dc:creator>
  <cp:lastModifiedBy>大藪　一馬</cp:lastModifiedBy>
  <dcterms:created xsi:type="dcterms:W3CDTF">2024-12-29T16:27:51Z</dcterms:created>
  <dcterms:modified xsi:type="dcterms:W3CDTF">2025-06-23T15:38:18Z</dcterms:modified>
</cp:coreProperties>
</file>