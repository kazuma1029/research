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system/実験結果/"/>
    </mc:Choice>
  </mc:AlternateContent>
  <xr:revisionPtr revIDLastSave="41" documentId="11_9103B162FFA177B4EE18D0B61BCD80A6EF2C94CF" xr6:coauthVersionLast="47" xr6:coauthVersionMax="47" xr10:uidLastSave="{D1536F70-1BA7-4819-973F-893DFCE0EAC2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D48" i="1"/>
  <c r="C48" i="1"/>
  <c r="B48" i="1"/>
  <c r="C45" i="1"/>
  <c r="C43" i="1"/>
  <c r="C42" i="1"/>
  <c r="C35" i="1"/>
  <c r="C32" i="1"/>
  <c r="C30" i="1"/>
  <c r="C29" i="1"/>
  <c r="F25" i="1"/>
  <c r="E25" i="1"/>
  <c r="F17" i="1"/>
  <c r="E13" i="1"/>
  <c r="F9" i="1"/>
</calcChain>
</file>

<file path=xl/sharedStrings.xml><?xml version="1.0" encoding="utf-8"?>
<sst xmlns="http://schemas.openxmlformats.org/spreadsheetml/2006/main" count="17" uniqueCount="11">
  <si>
    <t>適合率</t>
  </si>
  <si>
    <t>fastText+BERT(全レビュー)</t>
  </si>
  <si>
    <t>fastText+BERT(全レビュー+us)</t>
  </si>
  <si>
    <t>fastText+BERT(全レビュー+rus)</t>
  </si>
  <si>
    <t>fastText+BERT(抽出レビュー)</t>
  </si>
  <si>
    <t>平均</t>
  </si>
  <si>
    <t>再現率</t>
  </si>
  <si>
    <t>F値</t>
  </si>
  <si>
    <t>先行研究</t>
  </si>
  <si>
    <t>正例510</t>
    <rPh sb="0" eb="2">
      <t>セイレイ</t>
    </rPh>
    <phoneticPr fontId="1"/>
  </si>
  <si>
    <t>負例284</t>
    <rPh sb="0" eb="1">
      <t>フ</t>
    </rPh>
    <rPh sb="1" eb="2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</si>
</sst>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3</a:t>
            </a:r>
            <a:r>
              <a:rPr lang="ja-JP" altLang="en-US" sz="1800"/>
              <a:t>の再現率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Sheet1!$F$11:$F$15</c:f>
              <c:numCache>
                <c:formatCode>General</c:formatCode>
                <c:ptCount val="5"/>
                <c:pt idx="0">
                  <c:v>0.56658291457286436</c:v>
                </c:pt>
                <c:pt idx="1">
                  <c:v>0.37688442211055279</c:v>
                </c:pt>
                <c:pt idx="2">
                  <c:v>0.50376884422110557</c:v>
                </c:pt>
                <c:pt idx="3">
                  <c:v>0.90326633165829151</c:v>
                </c:pt>
                <c:pt idx="4">
                  <c:v>0.94221105527638194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E-4AD1-9ECB-A744F33E96A8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Sheet1!$D$11:$D$15</c:f>
              <c:numCache>
                <c:formatCode>General</c:formatCode>
                <c:ptCount val="5"/>
                <c:pt idx="0">
                  <c:v>0.41080402010050249</c:v>
                </c:pt>
                <c:pt idx="1">
                  <c:v>0.41080402010050249</c:v>
                </c:pt>
                <c:pt idx="2">
                  <c:v>0.41080402010050249</c:v>
                </c:pt>
                <c:pt idx="3">
                  <c:v>0.41080402010050249</c:v>
                </c:pt>
                <c:pt idx="4">
                  <c:v>0.41080402010050249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4-439E-A247-27D331AD24BD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Sheet1!$C$11:$C$15</c:f>
              <c:numCache>
                <c:formatCode>General</c:formatCode>
                <c:ptCount val="5"/>
                <c:pt idx="0">
                  <c:v>0.88819095477386933</c:v>
                </c:pt>
                <c:pt idx="1">
                  <c:v>0.88819095477386933</c:v>
                </c:pt>
                <c:pt idx="2">
                  <c:v>0.88819095477386933</c:v>
                </c:pt>
                <c:pt idx="3">
                  <c:v>0.88819095477386933</c:v>
                </c:pt>
                <c:pt idx="4">
                  <c:v>0.88819095477386933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4-439E-A247-27D331AD24BD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Sheet1!$F$36:$F$40</c:f>
              <c:numCache>
                <c:formatCode>General</c:formatCode>
                <c:ptCount val="5"/>
                <c:pt idx="0">
                  <c:v>0.70226130653266328</c:v>
                </c:pt>
                <c:pt idx="1">
                  <c:v>0.70226130653266328</c:v>
                </c:pt>
                <c:pt idx="2">
                  <c:v>0.70226130653266328</c:v>
                </c:pt>
                <c:pt idx="3">
                  <c:v>0.70226130653266328</c:v>
                </c:pt>
                <c:pt idx="4">
                  <c:v>0.70226130653266328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4-439E-A247-27D331AD2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5.000000000000001E-2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3</a:t>
            </a:r>
            <a:r>
              <a:rPr lang="ja-JP" altLang="en-US" sz="1800"/>
              <a:t>の適合率</a:t>
            </a:r>
            <a:endParaRPr lang="en-US" altLang="ja-JP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0.42268041237113402</c:v>
                </c:pt>
                <c:pt idx="1">
                  <c:v>0.38412291933418702</c:v>
                </c:pt>
                <c:pt idx="2">
                  <c:v>0.38932038834951449</c:v>
                </c:pt>
                <c:pt idx="3">
                  <c:v>0.42071386775892328</c:v>
                </c:pt>
                <c:pt idx="4">
                  <c:v>0.41574279379157431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A-46A3-A19F-ECF686673860}"/>
            </c:ext>
          </c:extLst>
        </c:ser>
        <c:ser>
          <c:idx val="1"/>
          <c:order val="1"/>
          <c:tx>
            <c:v>提案手法2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0.39492753623188398</c:v>
                </c:pt>
                <c:pt idx="1">
                  <c:v>0.39492753623188398</c:v>
                </c:pt>
                <c:pt idx="2">
                  <c:v>0.39492753623188398</c:v>
                </c:pt>
                <c:pt idx="3">
                  <c:v>0.39492753623188398</c:v>
                </c:pt>
                <c:pt idx="4">
                  <c:v>0.39492753623188398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A-46A3-A19F-ECF686673860}"/>
            </c:ext>
          </c:extLst>
        </c:ser>
        <c:ser>
          <c:idx val="2"/>
          <c:order val="2"/>
          <c:tx>
            <c:v>比較手法1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0.40843443096476018</c:v>
                </c:pt>
                <c:pt idx="1">
                  <c:v>0.40843443096476018</c:v>
                </c:pt>
                <c:pt idx="2">
                  <c:v>0.40843443096476018</c:v>
                </c:pt>
                <c:pt idx="3">
                  <c:v>0.40843443096476018</c:v>
                </c:pt>
                <c:pt idx="4">
                  <c:v>0.40843443096476018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4A-46A3-A19F-ECF686673860}"/>
            </c:ext>
          </c:extLst>
        </c:ser>
        <c:ser>
          <c:idx val="3"/>
          <c:order val="3"/>
          <c:tx>
            <c:v>比較手法2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Sheet1!$F$29:$F$33</c:f>
              <c:numCache>
                <c:formatCode>General</c:formatCode>
                <c:ptCount val="5"/>
                <c:pt idx="0">
                  <c:v>0.41499628804751298</c:v>
                </c:pt>
                <c:pt idx="1">
                  <c:v>0.41499628804751298</c:v>
                </c:pt>
                <c:pt idx="2">
                  <c:v>0.41499628804751298</c:v>
                </c:pt>
                <c:pt idx="3">
                  <c:v>0.41499628804751298</c:v>
                </c:pt>
                <c:pt idx="4">
                  <c:v>0.41499628804751298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4A-46A3-A19F-ECF686673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41871"/>
        <c:axId val="1728902191"/>
      </c:lineChart>
      <c:catAx>
        <c:axId val="49334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8902191"/>
        <c:crosses val="autoZero"/>
        <c:auto val="1"/>
        <c:lblAlgn val="ctr"/>
        <c:lblOffset val="100"/>
        <c:noMultiLvlLbl val="0"/>
      </c:catAx>
      <c:valAx>
        <c:axId val="17289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適合率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33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3</a:t>
            </a:r>
            <a:r>
              <a:rPr lang="ja-JP" altLang="en-US" sz="1800"/>
              <a:t>の</a:t>
            </a:r>
            <a:r>
              <a:rPr lang="en-US" altLang="ja-JP" sz="1800"/>
              <a:t>F</a:t>
            </a:r>
            <a:r>
              <a:rPr lang="ja-JP" altLang="en-US" sz="1800"/>
              <a:t>値</a:t>
            </a:r>
            <a:endParaRPr lang="en-US" altLang="ja-JP" sz="18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Sheet1!$F$19:$F$23</c:f>
              <c:numCache>
                <c:formatCode>General</c:formatCode>
                <c:ptCount val="5"/>
                <c:pt idx="0">
                  <c:v>0.48416532474503488</c:v>
                </c:pt>
                <c:pt idx="1">
                  <c:v>0.3804692454026633</c:v>
                </c:pt>
                <c:pt idx="2">
                  <c:v>0.43921139101861989</c:v>
                </c:pt>
                <c:pt idx="3">
                  <c:v>0.57405189620758479</c:v>
                </c:pt>
                <c:pt idx="4">
                  <c:v>0.57692307692307687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6-4F8A-868D-B988D5664475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Sheet1!$D$19:$D$23</c:f>
              <c:numCache>
                <c:formatCode>General</c:formatCode>
                <c:ptCount val="5"/>
                <c:pt idx="0">
                  <c:v>0.40270935960591131</c:v>
                </c:pt>
                <c:pt idx="1">
                  <c:v>0.40270935960591131</c:v>
                </c:pt>
                <c:pt idx="2">
                  <c:v>0.40270935960591131</c:v>
                </c:pt>
                <c:pt idx="3">
                  <c:v>0.40270935960591131</c:v>
                </c:pt>
                <c:pt idx="4">
                  <c:v>0.40270935960591131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6-4F8A-868D-B988D5664475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Sheet1!$C$19:$C$23</c:f>
              <c:numCache>
                <c:formatCode>General</c:formatCode>
                <c:ptCount val="5"/>
                <c:pt idx="0">
                  <c:v>0.55955678670360109</c:v>
                </c:pt>
                <c:pt idx="1">
                  <c:v>0.55955678670360109</c:v>
                </c:pt>
                <c:pt idx="2">
                  <c:v>0.55955678670360109</c:v>
                </c:pt>
                <c:pt idx="3">
                  <c:v>0.55955678670360109</c:v>
                </c:pt>
                <c:pt idx="4">
                  <c:v>0.55955678670360109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6-4F8A-868D-B988D5664475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Sheet1!$F$43:$F$47</c:f>
              <c:numCache>
                <c:formatCode>General</c:formatCode>
                <c:ptCount val="5"/>
                <c:pt idx="0">
                  <c:v>0.52169855342977134</c:v>
                </c:pt>
                <c:pt idx="1">
                  <c:v>0.52169855342977134</c:v>
                </c:pt>
                <c:pt idx="2">
                  <c:v>0.52169855342977134</c:v>
                </c:pt>
                <c:pt idx="3">
                  <c:v>0.52169855342977134</c:v>
                </c:pt>
                <c:pt idx="4">
                  <c:v>0.52169855342977134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6-4F8A-868D-B988D5664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</a:t>
                </a:r>
                <a:r>
                  <a:rPr lang="ja-JP" altLang="en-US"/>
                  <a:t>値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5.000000000000001E-2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488999</xdr:colOff>
      <xdr:row>16</xdr:row>
      <xdr:rowOff>131097</xdr:rowOff>
    </xdr:from>
    <xdr:to>
      <xdr:col>16</xdr:col>
      <xdr:colOff>434259</xdr:colOff>
      <xdr:row>30</xdr:row>
      <xdr:rowOff>194082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528482</xdr:colOff>
      <xdr:row>1</xdr:row>
      <xdr:rowOff>41787</xdr:rowOff>
    </xdr:from>
    <xdr:to>
      <xdr:col>16</xdr:col>
      <xdr:colOff>483419</xdr:colOff>
      <xdr:row>15</xdr:row>
      <xdr:rowOff>122903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358070-51CF-422D-83F3-A9BFA5826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499807</xdr:colOff>
      <xdr:row>33</xdr:row>
      <xdr:rowOff>24581</xdr:rowOff>
    </xdr:from>
    <xdr:to>
      <xdr:col>16</xdr:col>
      <xdr:colOff>445067</xdr:colOff>
      <xdr:row>47</xdr:row>
      <xdr:rowOff>79372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1783C97-F3F9-4D03-92D2-4F921529D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system/&#23455;&#39443;&#32080;&#26524;/&#34987;&#39443;&#32773;1.xlsx" TargetMode="External"/><Relationship Id="rId1" Type="http://schemas.openxmlformats.org/officeDocument/2006/relationships/externalLinkPath" Target="&#34987;&#39443;&#32773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>
            <v>100</v>
          </cell>
          <cell r="C3">
            <v>0.63775510204081631</v>
          </cell>
          <cell r="D3">
            <v>0.53805774278215224</v>
          </cell>
          <cell r="F3">
            <v>0.57645875251509049</v>
          </cell>
        </row>
        <row r="4">
          <cell r="A4">
            <v>200</v>
          </cell>
          <cell r="C4">
            <v>0.63775510204081631</v>
          </cell>
          <cell r="D4">
            <v>0.53805774278215224</v>
          </cell>
          <cell r="F4">
            <v>0.59667852906287067</v>
          </cell>
        </row>
        <row r="5">
          <cell r="A5">
            <v>300</v>
          </cell>
          <cell r="C5">
            <v>0.63775510204081631</v>
          </cell>
          <cell r="D5">
            <v>0.53805774278215224</v>
          </cell>
          <cell r="F5">
            <v>0.55187319884726227</v>
          </cell>
        </row>
        <row r="6">
          <cell r="A6">
            <v>400</v>
          </cell>
          <cell r="C6">
            <v>0.63775510204081631</v>
          </cell>
          <cell r="D6">
            <v>0.53805774278215224</v>
          </cell>
          <cell r="F6">
            <v>0.55485893416927901</v>
          </cell>
        </row>
        <row r="7">
          <cell r="A7">
            <v>500</v>
          </cell>
          <cell r="C7">
            <v>0.63775510204081631</v>
          </cell>
          <cell r="D7">
            <v>0.53805774278215224</v>
          </cell>
          <cell r="F7">
            <v>0.53944836433611287</v>
          </cell>
        </row>
        <row r="32">
          <cell r="F32">
            <v>0.54453441295546556</v>
          </cell>
        </row>
        <row r="33">
          <cell r="F33">
            <v>0.5453951665578054</v>
          </cell>
        </row>
        <row r="34">
          <cell r="F34">
            <v>0.54453441295546556</v>
          </cell>
        </row>
        <row r="35">
          <cell r="F35">
            <v>0.54453441295546556</v>
          </cell>
        </row>
        <row r="36">
          <cell r="F36">
            <v>0.54453441295546556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E10" zoomScale="93" zoomScaleNormal="93" workbookViewId="0">
      <selection activeCell="K36" sqref="K36"/>
    </sheetView>
  </sheetViews>
  <sheetFormatPr defaultRowHeight="18" x14ac:dyDescent="0.45"/>
  <cols>
    <col min="2" max="2" width="13.69921875" style="1" customWidth="1"/>
    <col min="3" max="3" width="25.19921875" style="1" bestFit="1" customWidth="1"/>
    <col min="4" max="4" width="27.19921875" style="1" bestFit="1" customWidth="1"/>
    <col min="5" max="5" width="30.5" style="1" customWidth="1"/>
    <col min="6" max="6" width="28.3984375" style="1" customWidth="1"/>
  </cols>
  <sheetData>
    <row r="1" spans="2:7" x14ac:dyDescent="0.45">
      <c r="B1" t="s">
        <v>0</v>
      </c>
    </row>
    <row r="2" spans="2:7" x14ac:dyDescent="0.45">
      <c r="B2"/>
      <c r="C2" t="s">
        <v>1</v>
      </c>
      <c r="D2" t="s">
        <v>2</v>
      </c>
      <c r="E2" t="s">
        <v>3</v>
      </c>
      <c r="F2" t="s">
        <v>4</v>
      </c>
    </row>
    <row r="3" spans="2:7" x14ac:dyDescent="0.45">
      <c r="B3"/>
      <c r="C3">
        <v>0.40843443096476018</v>
      </c>
      <c r="D3">
        <v>0.39492753623188398</v>
      </c>
      <c r="E3">
        <v>0.41111981205951448</v>
      </c>
      <c r="F3" s="7">
        <v>0.42268041237113402</v>
      </c>
    </row>
    <row r="4" spans="2:7" x14ac:dyDescent="0.45">
      <c r="B4"/>
      <c r="C4">
        <v>0.40843443096476018</v>
      </c>
      <c r="D4">
        <v>0.39492753623188398</v>
      </c>
      <c r="E4">
        <v>0.40779014308426081</v>
      </c>
      <c r="F4">
        <v>0.38412291933418702</v>
      </c>
    </row>
    <row r="5" spans="2:7" x14ac:dyDescent="0.45">
      <c r="B5"/>
      <c r="C5">
        <v>0.40843443096476018</v>
      </c>
      <c r="D5">
        <v>0.39492753623188398</v>
      </c>
      <c r="E5">
        <v>0.41339491916859122</v>
      </c>
      <c r="F5">
        <v>0.38932038834951449</v>
      </c>
    </row>
    <row r="6" spans="2:7" x14ac:dyDescent="0.45">
      <c r="B6"/>
      <c r="C6">
        <v>0.40843443096476018</v>
      </c>
      <c r="D6">
        <v>0.39492753623188398</v>
      </c>
      <c r="E6">
        <v>0.42468772961058038</v>
      </c>
      <c r="F6">
        <v>0.42071386775892328</v>
      </c>
    </row>
    <row r="7" spans="2:7" x14ac:dyDescent="0.45">
      <c r="B7"/>
      <c r="C7">
        <v>0.40843443096476018</v>
      </c>
      <c r="D7">
        <v>0.39492753623188398</v>
      </c>
      <c r="E7">
        <v>0.42619227857683573</v>
      </c>
      <c r="F7">
        <v>0.41574279379157431</v>
      </c>
    </row>
    <row r="8" spans="2:7" x14ac:dyDescent="0.45">
      <c r="B8"/>
      <c r="C8">
        <v>0.40843443096476018</v>
      </c>
      <c r="D8">
        <v>0.39492753623188398</v>
      </c>
      <c r="E8">
        <v>0.42744252873563221</v>
      </c>
      <c r="F8"/>
    </row>
    <row r="9" spans="2:7" x14ac:dyDescent="0.45">
      <c r="B9"/>
      <c r="C9"/>
      <c r="E9">
        <v>0.42268041237113402</v>
      </c>
      <c r="F9">
        <f>AVERAGE(F3:F7)</f>
        <v>0.40651607632106668</v>
      </c>
      <c r="G9" s="3" t="s">
        <v>5</v>
      </c>
    </row>
    <row r="10" spans="2:7" x14ac:dyDescent="0.45">
      <c r="B10" t="s">
        <v>6</v>
      </c>
      <c r="C10"/>
      <c r="E10">
        <v>0.41660319878141661</v>
      </c>
      <c r="F10"/>
    </row>
    <row r="11" spans="2:7" x14ac:dyDescent="0.45">
      <c r="B11">
        <v>100</v>
      </c>
      <c r="C11">
        <v>0.88819095477386933</v>
      </c>
      <c r="D11">
        <v>0.41080402010050249</v>
      </c>
      <c r="E11">
        <v>0.42930591259640111</v>
      </c>
      <c r="F11">
        <v>0.56658291457286436</v>
      </c>
    </row>
    <row r="12" spans="2:7" x14ac:dyDescent="0.45">
      <c r="B12">
        <v>200</v>
      </c>
      <c r="C12">
        <v>0.88819095477386933</v>
      </c>
      <c r="D12">
        <v>0.41080402010050249</v>
      </c>
      <c r="E12">
        <v>0.42459396751740142</v>
      </c>
      <c r="F12">
        <v>0.37688442211055279</v>
      </c>
    </row>
    <row r="13" spans="2:7" x14ac:dyDescent="0.45">
      <c r="B13">
        <v>300</v>
      </c>
      <c r="C13">
        <v>0.88819095477386933</v>
      </c>
      <c r="D13">
        <v>0.41080402010050249</v>
      </c>
      <c r="E13">
        <f>AVERAGE(E3:E12)</f>
        <v>0.42038109025017673</v>
      </c>
      <c r="F13">
        <v>0.50376884422110557</v>
      </c>
    </row>
    <row r="14" spans="2:7" x14ac:dyDescent="0.45">
      <c r="B14">
        <v>400</v>
      </c>
      <c r="C14">
        <v>0.88819095477386933</v>
      </c>
      <c r="D14">
        <v>0.41080402010050249</v>
      </c>
      <c r="F14">
        <v>0.90326633165829151</v>
      </c>
    </row>
    <row r="15" spans="2:7" x14ac:dyDescent="0.45">
      <c r="B15">
        <v>500</v>
      </c>
      <c r="C15">
        <v>0.88819095477386933</v>
      </c>
      <c r="D15">
        <v>0.41080402010050249</v>
      </c>
      <c r="E15">
        <v>0.65954773869346739</v>
      </c>
      <c r="F15" s="7">
        <v>0.94221105527638194</v>
      </c>
    </row>
    <row r="16" spans="2:7" x14ac:dyDescent="0.45">
      <c r="B16">
        <v>510</v>
      </c>
      <c r="C16">
        <v>0.88819095477386933</v>
      </c>
      <c r="D16">
        <v>0.41080402010050249</v>
      </c>
      <c r="E16">
        <v>0.64447236180904521</v>
      </c>
    </row>
    <row r="17" spans="2:7" x14ac:dyDescent="0.45">
      <c r="B17"/>
      <c r="C17"/>
      <c r="E17">
        <v>0.67462311557788945</v>
      </c>
      <c r="F17">
        <f>AVERAGE(F11:F15)</f>
        <v>0.65854271356783922</v>
      </c>
      <c r="G17" s="3" t="s">
        <v>5</v>
      </c>
    </row>
    <row r="18" spans="2:7" x14ac:dyDescent="0.45">
      <c r="B18" t="s">
        <v>7</v>
      </c>
      <c r="C18"/>
      <c r="E18">
        <v>0.72613065326633164</v>
      </c>
      <c r="F18"/>
    </row>
    <row r="19" spans="2:7" x14ac:dyDescent="0.45">
      <c r="B19"/>
      <c r="C19">
        <v>0.55955678670360109</v>
      </c>
      <c r="D19">
        <v>0.40270935960591131</v>
      </c>
      <c r="E19">
        <v>0.707286432160804</v>
      </c>
      <c r="F19">
        <v>0.48416532474503488</v>
      </c>
    </row>
    <row r="20" spans="2:7" x14ac:dyDescent="0.45">
      <c r="B20"/>
      <c r="C20">
        <v>0.55955678670360109</v>
      </c>
      <c r="D20">
        <v>0.40270935960591131</v>
      </c>
      <c r="E20">
        <v>0.74748743718592969</v>
      </c>
      <c r="F20">
        <v>0.3804692454026633</v>
      </c>
    </row>
    <row r="21" spans="2:7" x14ac:dyDescent="0.45">
      <c r="B21"/>
      <c r="C21">
        <v>0.55955678670360109</v>
      </c>
      <c r="D21">
        <v>0.40270935960591131</v>
      </c>
      <c r="E21">
        <v>0.82412060301507539</v>
      </c>
      <c r="F21">
        <v>0.43921139101861989</v>
      </c>
    </row>
    <row r="22" spans="2:7" x14ac:dyDescent="0.45">
      <c r="B22"/>
      <c r="C22">
        <v>0.55955678670360109</v>
      </c>
      <c r="D22">
        <v>0.40270935960591131</v>
      </c>
      <c r="E22">
        <v>0.68718592964824121</v>
      </c>
      <c r="F22">
        <v>0.57405189620758479</v>
      </c>
    </row>
    <row r="23" spans="2:7" x14ac:dyDescent="0.45">
      <c r="B23"/>
      <c r="C23">
        <v>0.55955678670360109</v>
      </c>
      <c r="D23">
        <v>0.40270935960591131</v>
      </c>
      <c r="E23">
        <v>0.62939698492462315</v>
      </c>
      <c r="F23" s="7">
        <v>0.57692307692307687</v>
      </c>
    </row>
    <row r="24" spans="2:7" x14ac:dyDescent="0.45">
      <c r="B24"/>
      <c r="C24">
        <v>0.55955678670360109</v>
      </c>
      <c r="D24">
        <v>0.40270935960591131</v>
      </c>
      <c r="E24">
        <v>0.68969849246231152</v>
      </c>
    </row>
    <row r="25" spans="2:7" x14ac:dyDescent="0.45">
      <c r="B25"/>
      <c r="E25">
        <f>AVERAGE(E15:E24)</f>
        <v>0.6989949748743719</v>
      </c>
      <c r="F25">
        <f>AVERAGE(F19:F23)</f>
        <v>0.49096418685939602</v>
      </c>
      <c r="G25" s="3" t="s">
        <v>5</v>
      </c>
    </row>
    <row r="26" spans="2:7" x14ac:dyDescent="0.45">
      <c r="B26"/>
    </row>
    <row r="27" spans="2:7" x14ac:dyDescent="0.45">
      <c r="B27" t="s">
        <v>8</v>
      </c>
      <c r="E27">
        <v>0.50651230101302458</v>
      </c>
    </row>
    <row r="28" spans="2:7" x14ac:dyDescent="0.45">
      <c r="B28" t="s">
        <v>0</v>
      </c>
      <c r="C28" t="s">
        <v>6</v>
      </c>
      <c r="D28" t="s">
        <v>7</v>
      </c>
      <c r="E28">
        <v>0.49951314508276529</v>
      </c>
    </row>
    <row r="29" spans="2:7" x14ac:dyDescent="0.45">
      <c r="B29" s="2">
        <v>0.46666666666666701</v>
      </c>
      <c r="C29">
        <f>(B29*D29)/(2*B29-D29)</f>
        <v>8.7390761548064924E-3</v>
      </c>
      <c r="D29" s="2">
        <v>1.7156862745098041E-2</v>
      </c>
      <c r="E29">
        <v>0.5126491646778043</v>
      </c>
      <c r="F29">
        <v>0.41499628804751298</v>
      </c>
    </row>
    <row r="30" spans="2:7" x14ac:dyDescent="0.45">
      <c r="B30" s="2">
        <v>0.22222222222222221</v>
      </c>
      <c r="C30">
        <f>(B30*D30)/(2*B30-D30)</f>
        <v>2.4968789013732826E-3</v>
      </c>
      <c r="D30" s="2">
        <v>4.9382716049382706E-3</v>
      </c>
      <c r="E30">
        <v>0.53592953175707003</v>
      </c>
      <c r="F30">
        <v>0.41499628804751298</v>
      </c>
    </row>
    <row r="31" spans="2:7" ht="17.399999999999999" customHeight="1" x14ac:dyDescent="0.45">
      <c r="B31" s="2">
        <v>0</v>
      </c>
      <c r="C31">
        <v>0</v>
      </c>
      <c r="D31" s="2">
        <v>0</v>
      </c>
      <c r="E31">
        <v>0.53188474256022678</v>
      </c>
      <c r="F31">
        <v>0.41499628804751298</v>
      </c>
    </row>
    <row r="32" spans="2:7" x14ac:dyDescent="0.45">
      <c r="B32" s="2">
        <v>0.45614035087719301</v>
      </c>
      <c r="C32">
        <f>(B32*D32)/(2*B32-D32)</f>
        <v>3.2459425717852687E-2</v>
      </c>
      <c r="D32" s="2">
        <v>6.0606060606060608E-2</v>
      </c>
      <c r="E32">
        <v>0.54387568555758681</v>
      </c>
      <c r="F32">
        <v>0.41499628804751298</v>
      </c>
    </row>
    <row r="33" spans="1:6" x14ac:dyDescent="0.45">
      <c r="B33" s="2">
        <v>0</v>
      </c>
      <c r="C33">
        <v>0</v>
      </c>
      <c r="D33" s="2">
        <v>0</v>
      </c>
      <c r="E33">
        <v>0.55877342419080067</v>
      </c>
      <c r="F33">
        <v>0.41499628804751298</v>
      </c>
    </row>
    <row r="34" spans="1:6" x14ac:dyDescent="0.45">
      <c r="B34" s="2">
        <v>0</v>
      </c>
      <c r="C34">
        <v>0</v>
      </c>
      <c r="D34" s="2">
        <v>0</v>
      </c>
      <c r="E34">
        <v>0.51872925557136085</v>
      </c>
      <c r="F34">
        <v>0.41499628804751298</v>
      </c>
    </row>
    <row r="35" spans="1:6" x14ac:dyDescent="0.45">
      <c r="B35" s="2">
        <v>0.53658536585365857</v>
      </c>
      <c r="C35">
        <f>(B35*D35)/(2*B35-D35)</f>
        <v>2.7465667915106119E-2</v>
      </c>
      <c r="D35" s="2">
        <v>5.2256532066508321E-2</v>
      </c>
      <c r="E35">
        <v>0.51044319918492109</v>
      </c>
    </row>
    <row r="36" spans="1:6" x14ac:dyDescent="0.45">
      <c r="B36" s="2">
        <v>0</v>
      </c>
      <c r="C36">
        <v>0</v>
      </c>
      <c r="D36" s="2">
        <v>0</v>
      </c>
      <c r="E36">
        <v>0.52561033987553851</v>
      </c>
      <c r="F36">
        <v>0.70226130653266328</v>
      </c>
    </row>
    <row r="37" spans="1:6" x14ac:dyDescent="0.45">
      <c r="B37" s="2">
        <v>0</v>
      </c>
      <c r="C37">
        <v>0</v>
      </c>
      <c r="D37" s="2">
        <v>0</v>
      </c>
      <c r="E37">
        <f>AVERAGE(E27:E36)</f>
        <v>0.52439207894710993</v>
      </c>
      <c r="F37">
        <v>0.70226130653266328</v>
      </c>
    </row>
    <row r="38" spans="1:6" x14ac:dyDescent="0.45">
      <c r="B38" s="2">
        <v>0</v>
      </c>
      <c r="C38">
        <v>0</v>
      </c>
      <c r="D38" s="2">
        <v>0</v>
      </c>
      <c r="F38">
        <v>0.70226130653266328</v>
      </c>
    </row>
    <row r="39" spans="1:6" x14ac:dyDescent="0.45">
      <c r="B39" s="2">
        <v>0</v>
      </c>
      <c r="C39">
        <v>0</v>
      </c>
      <c r="D39" s="2">
        <v>0</v>
      </c>
      <c r="F39">
        <v>0.70226130653266328</v>
      </c>
    </row>
    <row r="40" spans="1:6" x14ac:dyDescent="0.45">
      <c r="B40" s="2">
        <v>0</v>
      </c>
      <c r="C40">
        <v>0</v>
      </c>
      <c r="D40" s="2">
        <v>0</v>
      </c>
      <c r="F40">
        <v>0.70226130653266328</v>
      </c>
    </row>
    <row r="41" spans="1:6" x14ac:dyDescent="0.45">
      <c r="B41" s="2">
        <v>0</v>
      </c>
      <c r="C41">
        <v>0</v>
      </c>
      <c r="D41" s="2">
        <v>0</v>
      </c>
      <c r="F41">
        <v>0.70226130653266328</v>
      </c>
    </row>
    <row r="42" spans="1:6" x14ac:dyDescent="0.45">
      <c r="B42" s="2">
        <v>0.39285714285714279</v>
      </c>
      <c r="C42">
        <f>(B42*D42)/(2*B42-D42)</f>
        <v>1.3732833957553063E-2</v>
      </c>
      <c r="D42" s="2">
        <v>2.653799758745477E-2</v>
      </c>
    </row>
    <row r="43" spans="1:6" x14ac:dyDescent="0.45">
      <c r="B43" s="2">
        <v>0.45454545454545447</v>
      </c>
      <c r="C43">
        <f>(B43*D43)/(2*B43-D43)</f>
        <v>1.2484394506866416E-2</v>
      </c>
      <c r="D43" s="2">
        <v>2.430133657351154E-2</v>
      </c>
      <c r="F43">
        <v>0.52169855342977134</v>
      </c>
    </row>
    <row r="44" spans="1:6" x14ac:dyDescent="0.45">
      <c r="B44" s="2">
        <v>0</v>
      </c>
      <c r="C44">
        <v>0</v>
      </c>
      <c r="D44" s="2">
        <v>0</v>
      </c>
      <c r="F44">
        <v>0.52169855342977134</v>
      </c>
    </row>
    <row r="45" spans="1:6" x14ac:dyDescent="0.45">
      <c r="B45" s="2">
        <v>0.46666666666666667</v>
      </c>
      <c r="C45">
        <f>(B45*D45)/(2*B45-D45)</f>
        <v>8.7390761548064941E-3</v>
      </c>
      <c r="D45" s="2">
        <v>1.7156862745098041E-2</v>
      </c>
      <c r="F45">
        <v>0.52169855342977134</v>
      </c>
    </row>
    <row r="46" spans="1:6" x14ac:dyDescent="0.45">
      <c r="B46" s="2">
        <v>0</v>
      </c>
      <c r="C46">
        <v>0</v>
      </c>
      <c r="D46" s="2">
        <v>0</v>
      </c>
      <c r="F46">
        <v>0.52169855342977134</v>
      </c>
    </row>
    <row r="47" spans="1:6" ht="18.600000000000001" customHeight="1" thickBot="1" x14ac:dyDescent="0.5">
      <c r="B47" s="2">
        <v>0</v>
      </c>
      <c r="C47">
        <v>0</v>
      </c>
      <c r="D47" s="2">
        <v>0</v>
      </c>
      <c r="F47">
        <v>0.52169855342977134</v>
      </c>
    </row>
    <row r="48" spans="1:6" ht="18.600000000000001" customHeight="1" thickBot="1" x14ac:dyDescent="0.5">
      <c r="A48" s="4" t="s">
        <v>5</v>
      </c>
      <c r="B48" s="5">
        <f>AVERAGE(B28:B47)</f>
        <v>0.15766757208889501</v>
      </c>
      <c r="C48" s="5">
        <f>AVERAGE(C28:C47)</f>
        <v>5.5851238583349769E-3</v>
      </c>
      <c r="D48" s="6">
        <f>AVERAGE(D28:D47)</f>
        <v>1.0681785469929978E-2</v>
      </c>
      <c r="F48">
        <v>0.52169855342977134</v>
      </c>
    </row>
    <row r="50" spans="2:2" x14ac:dyDescent="0.45">
      <c r="B50" s="1" t="s">
        <v>9</v>
      </c>
    </row>
    <row r="51" spans="2:2" x14ac:dyDescent="0.45">
      <c r="B51" s="1" t="s">
        <v>10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　一馬</dc:creator>
  <cp:lastModifiedBy>大藪　一馬</cp:lastModifiedBy>
  <dcterms:created xsi:type="dcterms:W3CDTF">2024-12-29T16:27:51Z</dcterms:created>
  <dcterms:modified xsi:type="dcterms:W3CDTF">2025-06-23T16:13:08Z</dcterms:modified>
</cp:coreProperties>
</file>