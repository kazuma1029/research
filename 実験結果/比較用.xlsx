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"/>
    </mc:Choice>
  </mc:AlternateContent>
  <xr:revisionPtr revIDLastSave="568" documentId="11_AD4D066CA252ABDACC104838E994F8A672EEDF48" xr6:coauthVersionLast="47" xr6:coauthVersionMax="47" xr10:uidLastSave="{DC8F04BB-11B8-4D98-820B-33600A5695EE}"/>
  <bookViews>
    <workbookView xWindow="2412" yWindow="3732" windowWidth="10956" windowHeight="9948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5" i="1"/>
  <c r="C17" i="1"/>
  <c r="D17" i="1"/>
  <c r="C16" i="1"/>
  <c r="D16" i="1"/>
  <c r="D15" i="1"/>
  <c r="C15" i="1"/>
  <c r="C14" i="1"/>
  <c r="D14" i="1"/>
  <c r="D13" i="1"/>
  <c r="C13" i="1"/>
  <c r="B16" i="1"/>
  <c r="B13" i="1"/>
  <c r="B17" i="1"/>
  <c r="C11" i="1" l="1"/>
  <c r="B11" i="1"/>
  <c r="D11" i="1"/>
  <c r="D10" i="1"/>
  <c r="C10" i="1"/>
  <c r="B10" i="1"/>
  <c r="D8" i="1"/>
  <c r="D7" i="1"/>
  <c r="D6" i="1"/>
  <c r="D5" i="1"/>
  <c r="D4" i="1"/>
  <c r="D3" i="1"/>
  <c r="C7" i="1"/>
  <c r="C6" i="1"/>
  <c r="C5" i="1"/>
  <c r="C4" i="1"/>
  <c r="C3" i="1"/>
  <c r="B7" i="1"/>
  <c r="B4" i="1"/>
  <c r="B5" i="1"/>
  <c r="B6" i="1"/>
  <c r="B8" i="1"/>
  <c r="B9" i="1"/>
  <c r="B3" i="1"/>
  <c r="F2" i="1" l="1"/>
  <c r="D9" i="1"/>
  <c r="C9" i="1"/>
  <c r="C8" i="1"/>
  <c r="F11" i="1" l="1"/>
  <c r="F3" i="1"/>
  <c r="F8" i="1"/>
  <c r="F7" i="1"/>
  <c r="F6" i="1"/>
  <c r="F9" i="1"/>
  <c r="F5" i="1"/>
  <c r="F4" i="1"/>
  <c r="F10" i="1"/>
</calcChain>
</file>

<file path=xl/sharedStrings.xml><?xml version="1.0" encoding="utf-8"?>
<sst xmlns="http://schemas.openxmlformats.org/spreadsheetml/2006/main" count="20" uniqueCount="19">
  <si>
    <t>適合率</t>
    <rPh sb="0" eb="3">
      <t>テキゴウリツ</t>
    </rPh>
    <phoneticPr fontId="2"/>
  </si>
  <si>
    <t>先行研究</t>
    <rPh sb="0" eb="4">
      <t>センコウケンキュウ</t>
    </rPh>
    <phoneticPr fontId="2"/>
  </si>
  <si>
    <t>再現率</t>
    <rPh sb="0" eb="3">
      <t>サイゲンリツ</t>
    </rPh>
    <phoneticPr fontId="2"/>
  </si>
  <si>
    <t>F値</t>
    <rPh sb="1" eb="2">
      <t>アタイ</t>
    </rPh>
    <phoneticPr fontId="2"/>
  </si>
  <si>
    <t>提案1-1</t>
    <rPh sb="0" eb="2">
      <t>テイアン</t>
    </rPh>
    <phoneticPr fontId="2"/>
  </si>
  <si>
    <t>提案1-2</t>
    <rPh sb="0" eb="2">
      <t>テイアン</t>
    </rPh>
    <phoneticPr fontId="2"/>
  </si>
  <si>
    <t>提案1-3</t>
    <rPh sb="0" eb="2">
      <t>テイアン</t>
    </rPh>
    <phoneticPr fontId="2"/>
  </si>
  <si>
    <t>提案1-4</t>
    <rPh sb="0" eb="2">
      <t>テイアン</t>
    </rPh>
    <phoneticPr fontId="2"/>
  </si>
  <si>
    <t>提案1-5</t>
    <rPh sb="0" eb="2">
      <t>テイアン</t>
    </rPh>
    <phoneticPr fontId="2"/>
  </si>
  <si>
    <t>提案2</t>
    <rPh sb="0" eb="2">
      <t>テイアン</t>
    </rPh>
    <phoneticPr fontId="2"/>
  </si>
  <si>
    <t>比較1</t>
    <rPh sb="0" eb="2">
      <t>ヒカク</t>
    </rPh>
    <phoneticPr fontId="2"/>
  </si>
  <si>
    <t>比較2</t>
    <rPh sb="0" eb="2">
      <t>ヒカク</t>
    </rPh>
    <phoneticPr fontId="2"/>
  </si>
  <si>
    <t>比較2'</t>
    <rPh sb="0" eb="2">
      <t>ヒカク</t>
    </rPh>
    <phoneticPr fontId="2"/>
  </si>
  <si>
    <t>GPT-4o-mini</t>
    <phoneticPr fontId="2"/>
  </si>
  <si>
    <t>提案2-1</t>
    <rPh sb="0" eb="2">
      <t>テイアン</t>
    </rPh>
    <phoneticPr fontId="2"/>
  </si>
  <si>
    <t>提案2-2</t>
    <rPh sb="0" eb="2">
      <t>テイアン</t>
    </rPh>
    <phoneticPr fontId="2"/>
  </si>
  <si>
    <t>提案2-3</t>
    <rPh sb="0" eb="2">
      <t>テイアン</t>
    </rPh>
    <phoneticPr fontId="2"/>
  </si>
  <si>
    <t>提案2-4</t>
    <rPh sb="0" eb="2">
      <t>テイアン</t>
    </rPh>
    <phoneticPr fontId="2"/>
  </si>
  <si>
    <t>提案2-5</t>
    <rPh sb="0" eb="2">
      <t>テイアン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</si>
</sst>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"/>
  </numFmts>
  <fonts count="3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176" fontId="0" fillId="0" borderId="0" xfId="1" applyNumberFormat="1" applyFont="1" applyAlignment="1"/>
    <xf numFmtId="177" fontId="0" fillId="0" borderId="0" xfId="0" applyNumberFormat="1"/>
    <xf numFmtId="56" fontId="0" fillId="0" borderId="0" xfId="0" applyNumberFormat="1"/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適合率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(Sheet1!$A$2:$A$7,Sheet1!$A$9)</c:f>
              <c:strCache>
                <c:ptCount val="7"/>
                <c:pt idx="0">
                  <c:v>先行研究</c:v>
                </c:pt>
                <c:pt idx="1">
                  <c:v>提案1-1</c:v>
                </c:pt>
                <c:pt idx="2">
                  <c:v>提案1-2</c:v>
                </c:pt>
                <c:pt idx="3">
                  <c:v>提案1-3</c:v>
                </c:pt>
                <c:pt idx="4">
                  <c:v>提案1-4</c:v>
                </c:pt>
                <c:pt idx="5">
                  <c:v>提案1-5</c:v>
                </c:pt>
                <c:pt idx="6">
                  <c:v>比較1</c:v>
                </c:pt>
              </c:strCache>
            </c:strRef>
          </c:cat>
          <c:val>
            <c:numRef>
              <c:f>(Sheet1!$B$2:$B$7,Sheet1!$B$9)</c:f>
              <c:numCache>
                <c:formatCode>0.0%</c:formatCode>
                <c:ptCount val="7"/>
                <c:pt idx="0">
                  <c:v>0.50577051815478269</c:v>
                </c:pt>
                <c:pt idx="1">
                  <c:v>0.48275433557225583</c:v>
                </c:pt>
                <c:pt idx="2">
                  <c:v>0.47702859329577746</c:v>
                </c:pt>
                <c:pt idx="3">
                  <c:v>0.47366698831686288</c:v>
                </c:pt>
                <c:pt idx="4">
                  <c:v>0.4946925016116922</c:v>
                </c:pt>
                <c:pt idx="5">
                  <c:v>0.46459021578059129</c:v>
                </c:pt>
                <c:pt idx="6">
                  <c:v>0.50731016676947416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06-43AF-AA10-D87254BEE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1053056"/>
        <c:axId val="421044896"/>
      </c:barChart>
      <c:catAx>
        <c:axId val="421053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手法</a:t>
                </a:r>
              </a:p>
            </c:rich>
          </c:tx>
          <c:layout>
            <c:manualLayout>
              <c:xMode val="edge"/>
              <c:yMode val="edge"/>
              <c:x val="0.46661679790026245"/>
              <c:y val="0.85773148148148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1044896"/>
        <c:crosses val="autoZero"/>
        <c:auto val="1"/>
        <c:lblAlgn val="ctr"/>
        <c:lblOffset val="100"/>
        <c:noMultiLvlLbl val="0"/>
      </c:catAx>
      <c:valAx>
        <c:axId val="42104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適合率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105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Sheet1!$C$1</c:f>
              <c:strCache>
                <c:ptCount val="1"/>
                <c:pt idx="0">
                  <c:v>再現率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(Sheet1!$A$2:$A$7,Sheet1!$A$9)</c15:sqref>
                  </c15:fullRef>
                </c:ext>
              </c:extLst>
              <c:f>(Sheet1!$A$2:$A$7,Sheet1!$A$9)</c:f>
              <c:strCache>
                <c:ptCount val="7"/>
                <c:pt idx="0">
                  <c:v>先行研究</c:v>
                </c:pt>
                <c:pt idx="1">
                  <c:v>提案1-1</c:v>
                </c:pt>
                <c:pt idx="2">
                  <c:v>提案1-2</c:v>
                </c:pt>
                <c:pt idx="3">
                  <c:v>提案1-3</c:v>
                </c:pt>
                <c:pt idx="4">
                  <c:v>提案1-4</c:v>
                </c:pt>
                <c:pt idx="5">
                  <c:v>提案1-5</c:v>
                </c:pt>
                <c:pt idx="6">
                  <c:v>比較1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Sheet1!$C$2:$C$9</c15:sqref>
                  </c15:fullRef>
                </c:ext>
              </c:extLst>
              <c:f>Sheet1!$C$2:$C$8</c:f>
              <c:numCache>
                <c:formatCode>0.0%</c:formatCode>
                <c:ptCount val="7"/>
                <c:pt idx="0">
                  <c:v>1.1296402197139071E-2</c:v>
                </c:pt>
                <c:pt idx="1">
                  <c:v>0.69201135264479474</c:v>
                </c:pt>
                <c:pt idx="2">
                  <c:v>0.56118662302154532</c:v>
                </c:pt>
                <c:pt idx="3">
                  <c:v>0.68079744483523474</c:v>
                </c:pt>
                <c:pt idx="4">
                  <c:v>0.74065808007351575</c:v>
                </c:pt>
                <c:pt idx="5">
                  <c:v>0.82933507777484583</c:v>
                </c:pt>
                <c:pt idx="6">
                  <c:v>0.72923094165853986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17-4271-A99B-764CDD0BB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539440"/>
        <c:axId val="281544240"/>
      </c:barChart>
      <c:catAx>
        <c:axId val="281539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手法</a:t>
                </a:r>
              </a:p>
            </c:rich>
          </c:tx>
          <c:layout>
            <c:manualLayout>
              <c:xMode val="edge"/>
              <c:yMode val="edge"/>
              <c:x val="0.43606124234470689"/>
              <c:y val="0.85773148148148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1544240"/>
        <c:crosses val="autoZero"/>
        <c:auto val="1"/>
        <c:lblAlgn val="ctr"/>
        <c:lblOffset val="100"/>
        <c:noMultiLvlLbl val="0"/>
      </c:catAx>
      <c:valAx>
        <c:axId val="281544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再現率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81539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F</a:t>
            </a:r>
            <a:r>
              <a:rPr lang="ja-JP" altLang="en-US"/>
              <a:t>値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Sheet1!$D$1</c:f>
              <c:strCache>
                <c:ptCount val="1"/>
                <c:pt idx="0">
                  <c:v>F値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(Sheet1!$A$2:$A$7,Sheet1!$A$9)</c:f>
              <c:strCache>
                <c:ptCount val="7"/>
                <c:pt idx="0">
                  <c:v>先行研究</c:v>
                </c:pt>
                <c:pt idx="1">
                  <c:v>提案1-1</c:v>
                </c:pt>
                <c:pt idx="2">
                  <c:v>提案1-2</c:v>
                </c:pt>
                <c:pt idx="3">
                  <c:v>提案1-3</c:v>
                </c:pt>
                <c:pt idx="4">
                  <c:v>提案1-4</c:v>
                </c:pt>
                <c:pt idx="5">
                  <c:v>提案1-5</c:v>
                </c:pt>
                <c:pt idx="6">
                  <c:v>比較1</c:v>
                </c:pt>
              </c:strCache>
            </c:strRef>
          </c:cat>
          <c:val>
            <c:numRef>
              <c:f>(Sheet1!$D$2:$D$7,Sheet1!$D$9)</c:f>
              <c:numCache>
                <c:formatCode>0.000</c:formatCode>
                <c:ptCount val="7"/>
                <c:pt idx="0">
                  <c:v>2.2072487193006401E-2</c:v>
                </c:pt>
                <c:pt idx="1">
                  <c:v>0.56564909697263943</c:v>
                </c:pt>
                <c:pt idx="2">
                  <c:v>0.51158665225677868</c:v>
                </c:pt>
                <c:pt idx="3">
                  <c:v>0.55509261518304531</c:v>
                </c:pt>
                <c:pt idx="4">
                  <c:v>0.58712849241812504</c:v>
                </c:pt>
                <c:pt idx="5">
                  <c:v>0.59244836789490285</c:v>
                </c:pt>
                <c:pt idx="6">
                  <c:v>0.5705512528923361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161-4E20-966C-04342634D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3764240"/>
        <c:axId val="293761360"/>
      </c:barChart>
      <c:catAx>
        <c:axId val="293764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手法</a:t>
                </a:r>
              </a:p>
            </c:rich>
          </c:tx>
          <c:layout>
            <c:manualLayout>
              <c:xMode val="edge"/>
              <c:yMode val="edge"/>
              <c:x val="0.43345713035870509"/>
              <c:y val="0.8577314814814817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3761360"/>
        <c:crosses val="autoZero"/>
        <c:auto val="1"/>
        <c:lblAlgn val="ctr"/>
        <c:lblOffset val="100"/>
        <c:noMultiLvlLbl val="0"/>
      </c:catAx>
      <c:valAx>
        <c:axId val="29376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F</a:t>
                </a:r>
                <a:r>
                  <a:rPr lang="ja-JP" altLang="en-US"/>
                  <a:t>値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3764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506730</xdr:colOff>
      <xdr:row>0</xdr:row>
      <xdr:rowOff>167640</xdr:rowOff>
    </xdr:from>
    <xdr:to>
      <xdr:col>13</xdr:col>
      <xdr:colOff>384810</xdr:colOff>
      <xdr:row>12</xdr:row>
      <xdr:rowOff>167640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BBB66A0-82C7-33A9-EB3D-C16014C57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506730</xdr:colOff>
      <xdr:row>12</xdr:row>
      <xdr:rowOff>205740</xdr:rowOff>
    </xdr:from>
    <xdr:to>
      <xdr:col>13</xdr:col>
      <xdr:colOff>384810</xdr:colOff>
      <xdr:row>24</xdr:row>
      <xdr:rowOff>205740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B27359-DB37-0751-8111-2AB64AD45B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491490</xdr:colOff>
      <xdr:row>25</xdr:row>
      <xdr:rowOff>182880</xdr:rowOff>
    </xdr:from>
    <xdr:to>
      <xdr:col>13</xdr:col>
      <xdr:colOff>369570</xdr:colOff>
      <xdr:row>37</xdr:row>
      <xdr:rowOff>182880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B09E897-487F-03B3-AF0B-A695E0490D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1.xlsx" TargetMode="External"/><Relationship Id="rId1" Type="http://schemas.openxmlformats.org/officeDocument/2006/relationships/externalLinkPath" Target="&#34987;&#39443;&#32773;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2.xlsx" TargetMode="External"/><Relationship Id="rId1" Type="http://schemas.openxmlformats.org/officeDocument/2006/relationships/externalLinkPath" Target="&#34987;&#39443;&#32773;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3.xlsx" TargetMode="External"/><Relationship Id="rId1" Type="http://schemas.openxmlformats.org/officeDocument/2006/relationships/externalLinkPath" Target="&#34987;&#39443;&#32773;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4.xlsx" TargetMode="External"/><Relationship Id="rId1" Type="http://schemas.openxmlformats.org/officeDocument/2006/relationships/externalLinkPath" Target="&#34987;&#39443;&#32773;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5.xlsx" TargetMode="External"/><Relationship Id="rId1" Type="http://schemas.openxmlformats.org/officeDocument/2006/relationships/externalLinkPath" Target="&#34987;&#39443;&#32773;5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1GPT/&#25552;&#26696;&#25163;&#27861;1/100/sub1_run1_mode2_ranktrain_N100_pr_table.xlsx" TargetMode="External"/><Relationship Id="rId1" Type="http://schemas.openxmlformats.org/officeDocument/2006/relationships/externalLinkPath" Target="&#34987;&#39443;&#32773;1GPT/&#25552;&#26696;&#25163;&#27861;1/100/sub1_run1_mode2_ranktrain_N100_pr_tabl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2GPT/&#25552;&#26696;&#25163;&#27861;1/100/sub2_run1_mode2_ranktrain_N100_pr_table.xlsx" TargetMode="External"/><Relationship Id="rId1" Type="http://schemas.openxmlformats.org/officeDocument/2006/relationships/externalLinkPath" Target="&#34987;&#39443;&#32773;2GPT/&#25552;&#26696;&#25163;&#27861;1/100/sub2_run1_mode2_ranktrain_N100_pr_table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3GPT/&#25552;&#26696;&#25163;&#27861;1/100/sub3_run1_mode2_ranktrain_N100_pr_table.xlsx" TargetMode="External"/><Relationship Id="rId1" Type="http://schemas.openxmlformats.org/officeDocument/2006/relationships/externalLinkPath" Target="&#34987;&#39443;&#32773;3GPT/&#25552;&#26696;&#25163;&#27861;1/100/sub3_run1_mode2_ranktrain_N100_pr_tabl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5GPT/&#25552;&#26696;&#25163;&#27861;1/100/sub5_run1_mode2_ranktrain_N100_pr_table.xlsx" TargetMode="External"/><Relationship Id="rId1" Type="http://schemas.openxmlformats.org/officeDocument/2006/relationships/externalLinkPath" Target="&#34987;&#39443;&#32773;5GPT/&#25552;&#26696;&#25163;&#27861;1/100/sub5_run1_mode2_ranktrain_N100_pr_tabl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1GPT/&#25552;&#26696;&#25163;&#27861;1/200/sub1_run1_mode2_ranktrain_N200_pr_table.xlsx" TargetMode="External"/><Relationship Id="rId1" Type="http://schemas.openxmlformats.org/officeDocument/2006/relationships/externalLinkPath" Target="&#34987;&#39443;&#32773;1GPT/&#25552;&#26696;&#25163;&#27861;1/200/sub1_run1_mode2_ranktrain_N200_pr_tabl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2GPT/&#25552;&#26696;&#25163;&#27861;1/200/sub2_run1_mode2_ranktrain_N200_pr_table.xlsx" TargetMode="External"/><Relationship Id="rId1" Type="http://schemas.openxmlformats.org/officeDocument/2006/relationships/externalLinkPath" Target="&#34987;&#39443;&#32773;2GPT/&#25552;&#26696;&#25163;&#27861;1/200/sub2_run1_mode2_ranktrain_N200_pr_table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3GPT/&#25552;&#26696;&#25163;&#27861;1/200/sub3_run1_mode2_ranktrain_N200_pr_table.xlsx" TargetMode="External"/><Relationship Id="rId1" Type="http://schemas.openxmlformats.org/officeDocument/2006/relationships/externalLinkPath" Target="&#34987;&#39443;&#32773;3GPT/&#25552;&#26696;&#25163;&#27861;1/200/sub3_run1_mode2_ranktrain_N200_pr_table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5GPT/&#25552;&#26696;&#25163;&#27861;1/200/sub5_run1_mode2_ranktrain_N200_pr_table.xlsx" TargetMode="External"/><Relationship Id="rId1" Type="http://schemas.openxmlformats.org/officeDocument/2006/relationships/externalLinkPath" Target="&#34987;&#39443;&#32773;5GPT/&#25552;&#26696;&#25163;&#27861;1/200/sub5_run1_mode2_ranktrain_N200_pr_tabl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1GPT/&#25552;&#26696;&#25163;&#27861;1/300/sub1_run1_mode2_ranktrain_N300_pr_table.xlsx" TargetMode="External"/><Relationship Id="rId1" Type="http://schemas.openxmlformats.org/officeDocument/2006/relationships/externalLinkPath" Target="&#34987;&#39443;&#32773;1GPT/&#25552;&#26696;&#25163;&#27861;1/300/sub1_run1_mode2_ranktrain_N300_pr_table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2GPT/&#25552;&#26696;&#25163;&#27861;1/300/sub2_run1_mode2_ranktrain_N300_pr_table.xlsx" TargetMode="External"/><Relationship Id="rId1" Type="http://schemas.openxmlformats.org/officeDocument/2006/relationships/externalLinkPath" Target="&#34987;&#39443;&#32773;2GPT/&#25552;&#26696;&#25163;&#27861;1/300/sub2_run1_mode2_ranktrain_N300_pr_tabl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3GPT/&#25552;&#26696;&#25163;&#27861;1/300/sub3_run1_mode2_ranktrain_N300_pr_table.xlsx" TargetMode="External"/><Relationship Id="rId1" Type="http://schemas.openxmlformats.org/officeDocument/2006/relationships/externalLinkPath" Target="&#34987;&#39443;&#32773;3GPT/&#25552;&#26696;&#25163;&#27861;1/300/sub3_run1_mode2_ranktrain_N300_pr_table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5GPT/&#25552;&#26696;&#25163;&#27861;1/300/sub5_run1_mode2_ranktrain_N300_pr_table.xlsx" TargetMode="External"/><Relationship Id="rId1" Type="http://schemas.openxmlformats.org/officeDocument/2006/relationships/externalLinkPath" Target="&#34987;&#39443;&#32773;5GPT/&#25552;&#26696;&#25163;&#27861;1/300/sub5_run1_mode2_ranktrain_N300_pr_tabl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1GPT/&#25552;&#26696;&#25163;&#27861;1/400/sub1_run1_mode2_ranktrain_N400_pr_table.xlsx" TargetMode="External"/><Relationship Id="rId1" Type="http://schemas.openxmlformats.org/officeDocument/2006/relationships/externalLinkPath" Target="&#34987;&#39443;&#32773;1GPT/&#25552;&#26696;&#25163;&#27861;1/400/sub1_run1_mode2_ranktrain_N400_pr_table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2GPT/&#25552;&#26696;&#25163;&#27861;1/400/sub2_run1_mode2_ranktrain_N400_pr_table.xlsx" TargetMode="External"/><Relationship Id="rId1" Type="http://schemas.openxmlformats.org/officeDocument/2006/relationships/externalLinkPath" Target="&#34987;&#39443;&#32773;2GPT/&#25552;&#26696;&#25163;&#27861;1/400/sub2_run1_mode2_ranktrain_N400_pr_tabl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3GPT/&#25552;&#26696;&#25163;&#27861;1/400/sub3_run1_mode2_ranktrain_N400_pr_table.xlsx" TargetMode="External"/><Relationship Id="rId1" Type="http://schemas.openxmlformats.org/officeDocument/2006/relationships/externalLinkPath" Target="&#34987;&#39443;&#32773;3GPT/&#25552;&#26696;&#25163;&#27861;1/400/sub3_run1_mode2_ranktrain_N400_pr_table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5GPT/&#25552;&#26696;&#25163;&#27861;1/400/sub5_run1_mode2_ranktrain_N400_pr_table.xlsx" TargetMode="External"/><Relationship Id="rId1" Type="http://schemas.openxmlformats.org/officeDocument/2006/relationships/externalLinkPath" Target="&#34987;&#39443;&#32773;5GPT/&#25552;&#26696;&#25163;&#27861;1/400/sub5_run1_mode2_ranktrain_N400_pr_tabl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1GPT/&#25552;&#26696;&#25163;&#27861;1/500/sub1_run1_mode2_ranktrain_N500_pr_table.xlsx" TargetMode="External"/><Relationship Id="rId1" Type="http://schemas.openxmlformats.org/officeDocument/2006/relationships/externalLinkPath" Target="&#34987;&#39443;&#32773;1GPT/&#25552;&#26696;&#25163;&#27861;1/500/sub1_run1_mode2_ranktrain_N500_pr_table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3GPT/&#25552;&#26696;&#25163;&#27861;1/500/sub3_run1_mode2_ranktrain_N500_pr_table.xlsx" TargetMode="External"/><Relationship Id="rId1" Type="http://schemas.openxmlformats.org/officeDocument/2006/relationships/externalLinkPath" Target="&#34987;&#39443;&#32773;3GPT/&#25552;&#26696;&#25163;&#27861;1/500/sub3_run1_mode2_ranktrain_N500_pr_tabl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nitechict-my.sharepoint.com/personal/cmt14021_ict_nitech_ac_jp/Documents/&#30740;&#31350;/system/&#23455;&#39443;&#32080;&#26524;/&#34987;&#39443;&#32773;5GPT/&#25552;&#26696;&#25163;&#27861;1/500/sub5_run1_mode2_ranktrain_N500_pr_table.xlsx" TargetMode="External"/><Relationship Id="rId1" Type="http://schemas.openxmlformats.org/officeDocument/2006/relationships/externalLinkPath" Target="&#34987;&#39443;&#32773;5GPT/&#25552;&#26696;&#25163;&#27861;1/500/sub5_run1_mode2_ranktrain_N500_pr_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0.63775510204081631</v>
          </cell>
          <cell r="D3">
            <v>0.53805774278215224</v>
          </cell>
          <cell r="F3">
            <v>0.57645875251509049</v>
          </cell>
        </row>
        <row r="4">
          <cell r="F4">
            <v>0.59667852906287067</v>
          </cell>
        </row>
        <row r="5">
          <cell r="F5">
            <v>0.55187319884726227</v>
          </cell>
        </row>
        <row r="6">
          <cell r="F6">
            <v>0.55485893416927901</v>
          </cell>
        </row>
        <row r="7">
          <cell r="F7">
            <v>0.53944836433611287</v>
          </cell>
        </row>
        <row r="11">
          <cell r="C11">
            <v>0.41899441340782118</v>
          </cell>
          <cell r="D11">
            <v>0.91620111731843579</v>
          </cell>
          <cell r="F11">
            <v>0.64022346368715088</v>
          </cell>
        </row>
        <row r="12">
          <cell r="F12">
            <v>0.56201117318435756</v>
          </cell>
        </row>
        <row r="13">
          <cell r="E13">
            <v>0.54139527803292808</v>
          </cell>
          <cell r="F13">
            <v>0.85586592178770948</v>
          </cell>
        </row>
        <row r="14">
          <cell r="F14">
            <v>0.79106145251396653</v>
          </cell>
        </row>
        <row r="15">
          <cell r="F15">
            <v>0.9396648044692737</v>
          </cell>
        </row>
        <row r="19">
          <cell r="C19">
            <v>0.50573162508428859</v>
          </cell>
          <cell r="D19">
            <v>0.67796610169491522</v>
          </cell>
          <cell r="F19">
            <v>0.60667019587083115</v>
          </cell>
        </row>
        <row r="20">
          <cell r="F20">
            <v>0.5788262370540852</v>
          </cell>
        </row>
        <row r="21">
          <cell r="F21">
            <v>0.67104686815593517</v>
          </cell>
        </row>
        <row r="22">
          <cell r="F22">
            <v>0.6522339935513588</v>
          </cell>
        </row>
        <row r="23">
          <cell r="F23">
            <v>0.68541157294213528</v>
          </cell>
        </row>
        <row r="25">
          <cell r="E25">
            <v>0.94346368715083795</v>
          </cell>
        </row>
        <row r="33">
          <cell r="F33">
            <v>0.5453951665578054</v>
          </cell>
        </row>
        <row r="37">
          <cell r="E37">
            <v>0.68795330715512004</v>
          </cell>
        </row>
        <row r="39">
          <cell r="F39">
            <v>0.90167597765363094</v>
          </cell>
        </row>
        <row r="46">
          <cell r="F46">
            <v>0.67900715187210769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0.58250825082508251</v>
          </cell>
          <cell r="D3">
            <v>0.53805774278215224</v>
          </cell>
          <cell r="E3">
            <v>0.57440890125173849</v>
          </cell>
          <cell r="F3">
            <v>0.54143646408839774</v>
          </cell>
        </row>
        <row r="4">
          <cell r="F4">
            <v>0.53806451612903228</v>
          </cell>
        </row>
        <row r="5">
          <cell r="F5">
            <v>0.53546099290780147</v>
          </cell>
        </row>
        <row r="6">
          <cell r="F6">
            <v>0.55834564254062036</v>
          </cell>
        </row>
        <row r="9">
          <cell r="E9">
            <v>0.69063545150501671</v>
          </cell>
          <cell r="F9">
            <v>0.8193979933110368</v>
          </cell>
        </row>
        <row r="10">
          <cell r="F10">
            <v>0.69732441471571904</v>
          </cell>
        </row>
        <row r="11">
          <cell r="C11">
            <v>0.59030100334448166</v>
          </cell>
          <cell r="D11">
            <v>0.68561872909698995</v>
          </cell>
          <cell r="F11">
            <v>0.75752508361204018</v>
          </cell>
        </row>
        <row r="12">
          <cell r="F12">
            <v>0.63210702341137126</v>
          </cell>
        </row>
        <row r="13">
          <cell r="J13">
            <v>0.57827569895877295</v>
          </cell>
        </row>
        <row r="15">
          <cell r="D15">
            <v>0.6029411764705882</v>
          </cell>
          <cell r="E15">
            <v>0.6271829916476841</v>
          </cell>
          <cell r="F15">
            <v>0.65202927478376582</v>
          </cell>
        </row>
        <row r="16">
          <cell r="F16">
            <v>0.60742898761835395</v>
          </cell>
        </row>
        <row r="17">
          <cell r="F17">
            <v>0.62742382271468145</v>
          </cell>
        </row>
        <row r="18">
          <cell r="F18">
            <v>0.59294117647058819</v>
          </cell>
        </row>
        <row r="25">
          <cell r="J25">
            <v>0.67959866220735765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0.40843443096476018</v>
          </cell>
          <cell r="D3">
            <v>0.39492753623188398</v>
          </cell>
          <cell r="F3">
            <v>0.42268041237113402</v>
          </cell>
        </row>
        <row r="4">
          <cell r="F4">
            <v>0.38412291933418702</v>
          </cell>
        </row>
        <row r="5">
          <cell r="F5">
            <v>0.38932038834951449</v>
          </cell>
        </row>
        <row r="6">
          <cell r="F6">
            <v>0.42071386775892328</v>
          </cell>
        </row>
        <row r="7">
          <cell r="F7">
            <v>0.41574279379157431</v>
          </cell>
        </row>
        <row r="11">
          <cell r="C11">
            <v>0.88819095477386933</v>
          </cell>
          <cell r="D11">
            <v>0.41080402010050249</v>
          </cell>
          <cell r="F11">
            <v>0.56658291457286436</v>
          </cell>
        </row>
        <row r="12">
          <cell r="F12">
            <v>0.37688442211055279</v>
          </cell>
        </row>
        <row r="13">
          <cell r="E13">
            <v>0.42038109025017673</v>
          </cell>
          <cell r="F13">
            <v>0.50376884422110557</v>
          </cell>
        </row>
        <row r="14">
          <cell r="F14">
            <v>0.90326633165829151</v>
          </cell>
        </row>
        <row r="15">
          <cell r="F15">
            <v>0.94221105527638194</v>
          </cell>
        </row>
        <row r="19">
          <cell r="C19">
            <v>0.55955678670360109</v>
          </cell>
          <cell r="D19">
            <v>0.40270935960591131</v>
          </cell>
          <cell r="F19">
            <v>0.48416532474503488</v>
          </cell>
        </row>
        <row r="20">
          <cell r="F20">
            <v>0.3804692454026633</v>
          </cell>
        </row>
        <row r="21">
          <cell r="F21">
            <v>0.43921139101861989</v>
          </cell>
        </row>
        <row r="22">
          <cell r="F22">
            <v>0.57405189620758479</v>
          </cell>
        </row>
        <row r="23">
          <cell r="F23">
            <v>0.57692307692307687</v>
          </cell>
        </row>
        <row r="25">
          <cell r="E25">
            <v>0.6989949748743719</v>
          </cell>
        </row>
        <row r="29">
          <cell r="F29">
            <v>0.41499628804751298</v>
          </cell>
        </row>
        <row r="36">
          <cell r="F36">
            <v>0.70226130653266328</v>
          </cell>
        </row>
        <row r="37">
          <cell r="E37">
            <v>0.52439207894710993</v>
          </cell>
        </row>
        <row r="43">
          <cell r="F43">
            <v>0.52169855342977134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0.40507011866235171</v>
          </cell>
          <cell r="D3">
            <v>0.40729841082989993</v>
          </cell>
          <cell r="F3">
            <v>0.37016574585635359</v>
          </cell>
        </row>
        <row r="4">
          <cell r="F4">
            <v>0.36041189931350109</v>
          </cell>
        </row>
        <row r="5">
          <cell r="F5">
            <v>0.3806532663316583</v>
          </cell>
        </row>
        <row r="6">
          <cell r="F6">
            <v>0.43017806935332709</v>
          </cell>
        </row>
        <row r="7">
          <cell r="F7">
            <v>0.41239479724560058</v>
          </cell>
        </row>
        <row r="11">
          <cell r="C11">
            <v>0.98298429319371727</v>
          </cell>
          <cell r="D11">
            <v>0.90575916230366493</v>
          </cell>
          <cell r="F11">
            <v>0.61387434554973819</v>
          </cell>
        </row>
        <row r="12">
          <cell r="F12">
            <v>0.41230366492146597</v>
          </cell>
        </row>
        <row r="13">
          <cell r="E13">
            <v>0.40463295309856318</v>
          </cell>
          <cell r="F13">
            <v>0.39659685863874339</v>
          </cell>
        </row>
        <row r="14">
          <cell r="F14">
            <v>0.60078534031413611</v>
          </cell>
        </row>
        <row r="15">
          <cell r="F15">
            <v>0.70549738219895286</v>
          </cell>
        </row>
        <row r="19">
          <cell r="C19">
            <v>0.57372039724980906</v>
          </cell>
          <cell r="D19">
            <v>0.56191636215996754</v>
          </cell>
          <cell r="F19">
            <v>0.46184145741014282</v>
          </cell>
        </row>
        <row r="20">
          <cell r="F20">
            <v>0.38461538461538458</v>
          </cell>
        </row>
        <row r="21">
          <cell r="F21">
            <v>0.38846153846153852</v>
          </cell>
        </row>
        <row r="22">
          <cell r="F22">
            <v>0.50136537411250681</v>
          </cell>
        </row>
        <row r="23">
          <cell r="F23">
            <v>0.52052148720424918</v>
          </cell>
        </row>
        <row r="25">
          <cell r="E25">
            <v>0.937303664921466</v>
          </cell>
        </row>
        <row r="30">
          <cell r="F30">
            <v>0.40443686006825941</v>
          </cell>
        </row>
        <row r="37">
          <cell r="E37">
            <v>0.56215502686732688</v>
          </cell>
          <cell r="F37">
            <v>0.93062827225130895</v>
          </cell>
        </row>
        <row r="44">
          <cell r="F44">
            <v>0.56383822363203806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>
            <v>0.50278293135435992</v>
          </cell>
          <cell r="D3">
            <v>0.52328334648776642</v>
          </cell>
          <cell r="E3">
            <v>0.49570200573065898</v>
          </cell>
          <cell r="F3">
            <v>0.50303030303030305</v>
          </cell>
        </row>
        <row r="4">
          <cell r="F4">
            <v>0.50586510263929618</v>
          </cell>
        </row>
        <row r="5">
          <cell r="F5">
            <v>0.51102709514807809</v>
          </cell>
        </row>
        <row r="6">
          <cell r="F6">
            <v>0.50936599423631124</v>
          </cell>
        </row>
        <row r="7">
          <cell r="F7">
            <v>0.4907749077490775</v>
          </cell>
        </row>
        <row r="10">
          <cell r="E10">
            <v>0.56970362239297478</v>
          </cell>
          <cell r="F10">
            <v>0.81997804610318337</v>
          </cell>
        </row>
        <row r="11">
          <cell r="C11">
            <v>0.89242590559824364</v>
          </cell>
          <cell r="D11">
            <v>0.7277716794731065</v>
          </cell>
          <cell r="F11">
            <v>0.75740944017563117</v>
          </cell>
        </row>
        <row r="12">
          <cell r="F12">
            <v>0.8902305159165752</v>
          </cell>
        </row>
        <row r="13">
          <cell r="F13">
            <v>0.77607025246981343</v>
          </cell>
          <cell r="J13">
            <v>0.51514924771564352</v>
          </cell>
        </row>
        <row r="14">
          <cell r="F14">
            <v>0.72996706915477494</v>
          </cell>
        </row>
        <row r="17">
          <cell r="E17">
            <v>0.53013278855975488</v>
          </cell>
          <cell r="F17">
            <v>0.62353923205342232</v>
          </cell>
        </row>
        <row r="18">
          <cell r="F18">
            <v>0.60659340659340655</v>
          </cell>
        </row>
        <row r="19">
          <cell r="C19">
            <v>0.64319620253164556</v>
          </cell>
          <cell r="D19">
            <v>0.60881542699724522</v>
          </cell>
          <cell r="F19">
            <v>0.64931945556445159</v>
          </cell>
        </row>
        <row r="20">
          <cell r="F20">
            <v>0.61505002174858636</v>
          </cell>
        </row>
        <row r="21">
          <cell r="F21">
            <v>0.58693733451015007</v>
          </cell>
        </row>
        <row r="25">
          <cell r="J25">
            <v>0.75850713501646538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1_run1_mode2_ranktrain_N100_"/>
    </sheetNames>
    <sheetDataSet>
      <sheetData sheetId="0">
        <row r="8">
          <cell r="B8">
            <v>0.53442830069488301</v>
          </cell>
          <cell r="C8">
            <v>0.93791574279379097</v>
          </cell>
          <cell r="D8">
            <v>0.68088531187122703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2_run1_mode2_ranktrain_N100_"/>
    </sheetNames>
    <sheetDataSet>
      <sheetData sheetId="0">
        <row r="8">
          <cell r="B8">
            <v>0.515822784810126</v>
          </cell>
          <cell r="C8">
            <v>0.269867549668874</v>
          </cell>
          <cell r="D8">
            <v>0.35434782608695597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3_run1_mode2_ranktrain_N100_"/>
    </sheetNames>
    <sheetDataSet>
      <sheetData sheetId="0">
        <row r="8">
          <cell r="B8">
            <v>0.44247787610619399</v>
          </cell>
          <cell r="C8">
            <v>0.436953807740324</v>
          </cell>
          <cell r="D8">
            <v>0.43969849246231102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5_run1_mode2_ranktrain_N100_"/>
    </sheetNames>
    <sheetDataSet>
      <sheetData sheetId="0">
        <row r="8">
          <cell r="B8">
            <v>0.52466367713004403</v>
          </cell>
          <cell r="C8">
            <v>0.76470588235294101</v>
          </cell>
          <cell r="D8">
            <v>0.62234042553191404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1_run1_mode2_ranktrain_N200_"/>
    </sheetNames>
    <sheetDataSet>
      <sheetData sheetId="0">
        <row r="8">
          <cell r="B8">
            <v>0.53591862682771696</v>
          </cell>
          <cell r="C8">
            <v>0.93458980044345896</v>
          </cell>
          <cell r="D8">
            <v>0.68121212121212105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2_run1_mode2_ranktrain_N200_"/>
    </sheetNames>
    <sheetDataSet>
      <sheetData sheetId="0">
        <row r="8">
          <cell r="B8">
            <v>0.53324099722991603</v>
          </cell>
          <cell r="C8">
            <v>0.637417218543046</v>
          </cell>
          <cell r="D8">
            <v>0.58069381598793302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3_run1_mode2_ranktrain_N200_"/>
    </sheetNames>
    <sheetDataSet>
      <sheetData sheetId="0">
        <row r="8">
          <cell r="B8">
            <v>0.44733420026007797</v>
          </cell>
          <cell r="C8">
            <v>0.42946317103620402</v>
          </cell>
          <cell r="D8">
            <v>0.43821656050955399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5_run1_mode2_ranktrain_N200_"/>
    </sheetNames>
    <sheetDataSet>
      <sheetData sheetId="0">
        <row r="8">
          <cell r="B8">
            <v>0.53896103896103897</v>
          </cell>
          <cell r="C8">
            <v>0.723311546840958</v>
          </cell>
          <cell r="D8">
            <v>0.617674418604651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1_run1_mode2_ranktrain_N300_"/>
    </sheetNames>
    <sheetDataSet>
      <sheetData sheetId="0">
        <row r="8">
          <cell r="B8">
            <v>0.54313098999999998</v>
          </cell>
          <cell r="C8">
            <v>0.94235033300000004</v>
          </cell>
          <cell r="D8">
            <v>0.68909606800000001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2_run1_mode2_ranktrain_N300_"/>
    </sheetNames>
    <sheetDataSet>
      <sheetData sheetId="0">
        <row r="8">
          <cell r="B8">
            <v>0.56472261735419604</v>
          </cell>
          <cell r="C8">
            <v>0.65728476821191995</v>
          </cell>
          <cell r="D8">
            <v>0.60749808722264698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3_run1_mode2_ranktrain_N300_"/>
    </sheetNames>
    <sheetDataSet>
      <sheetData sheetId="0">
        <row r="8">
          <cell r="B8">
            <v>0.49302915082382698</v>
          </cell>
          <cell r="C8">
            <v>0.48564294631710297</v>
          </cell>
          <cell r="D8">
            <v>0.48930817610062799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5_run1_mode2_ranktrain_N300_"/>
    </sheetNames>
    <sheetDataSet>
      <sheetData sheetId="0">
        <row r="8">
          <cell r="B8">
            <v>0.54494382022471899</v>
          </cell>
          <cell r="C8">
            <v>0.73965141612200402</v>
          </cell>
          <cell r="D8">
            <v>0.62754158964879803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1_run1_mode2_ranktrain_N400_"/>
    </sheetNames>
    <sheetDataSet>
      <sheetData sheetId="0">
        <row r="8">
          <cell r="B8">
            <v>0.54197994987468601</v>
          </cell>
          <cell r="C8">
            <v>0.95898004434589801</v>
          </cell>
          <cell r="D8">
            <v>0.69255404323458702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2_run1_mode2_ranktrain_N400_"/>
    </sheetNames>
    <sheetDataSet>
      <sheetData sheetId="0">
        <row r="8">
          <cell r="B8">
            <v>0.53855569155446703</v>
          </cell>
          <cell r="C8">
            <v>0.72847682119205204</v>
          </cell>
          <cell r="D8">
            <v>0.61928219563687503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3_run1_mode2_ranktrain_N400_"/>
    </sheetNames>
    <sheetDataSet>
      <sheetData sheetId="0">
        <row r="8">
          <cell r="B8">
            <v>0.47162673392181498</v>
          </cell>
          <cell r="C8">
            <v>0.46691635455680303</v>
          </cell>
          <cell r="D8">
            <v>0.46925972396486798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5_run1_mode2_ranktrain_N400_"/>
    </sheetNames>
    <sheetDataSet>
      <sheetData sheetId="0">
        <row r="8">
          <cell r="B8">
            <v>0.52318958502847801</v>
          </cell>
          <cell r="C8">
            <v>0.70043572984749403</v>
          </cell>
          <cell r="D8">
            <v>0.598975314392175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1_run1_mode2_ranktrain_N500_"/>
    </sheetNames>
    <sheetDataSet>
      <sheetData sheetId="0">
        <row r="8">
          <cell r="B8">
            <v>0.53596889176927998</v>
          </cell>
          <cell r="C8">
            <v>0.91685144124168505</v>
          </cell>
          <cell r="D8">
            <v>0.67648261758691197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3_run1_mode2_ranktrain_N500_"/>
    </sheetNames>
    <sheetDataSet>
      <sheetData sheetId="0">
        <row r="8">
          <cell r="B8">
            <v>0.466584158415841</v>
          </cell>
          <cell r="C8">
            <v>0.47066167290886302</v>
          </cell>
          <cell r="D8">
            <v>0.46861404599129802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5_run1_mode2_ranktrain_N500_"/>
    </sheetNames>
    <sheetDataSet>
      <sheetData sheetId="0">
        <row r="8">
          <cell r="B8">
            <v>0.53253968253968198</v>
          </cell>
          <cell r="C8">
            <v>0.73093681917211295</v>
          </cell>
          <cell r="D8">
            <v>0.61616161616161602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B18" sqref="B18"/>
    </sheetView>
  </sheetViews>
  <sheetFormatPr defaultRowHeight="18"/>
  <cols>
    <col min="1" max="1" width="14.5" customWidth="1"/>
  </cols>
  <sheetData>
    <row r="1" spans="1:6">
      <c r="B1" t="s">
        <v>0</v>
      </c>
      <c r="C1" t="s">
        <v>2</v>
      </c>
      <c r="D1" t="s">
        <v>3</v>
      </c>
    </row>
    <row r="2" spans="1:6">
      <c r="A2" t="s">
        <v>1</v>
      </c>
      <c r="B2" s="1">
        <v>0.50577051815478269</v>
      </c>
      <c r="C2" s="1">
        <v>1.1296402197139071E-2</v>
      </c>
      <c r="D2" s="2">
        <v>2.2072487193006401E-2</v>
      </c>
      <c r="F2">
        <f>(2*B2*C2)/(B2+C2)</f>
        <v>2.2099217596992109E-2</v>
      </c>
    </row>
    <row r="3" spans="1:6">
      <c r="A3" t="s">
        <v>4</v>
      </c>
      <c r="B3" s="1">
        <f>AVERAGE([1]Sheet1!$F$3,[2]Sheet1!$F$3,[3]Sheet1!$F$3,[4]Sheet1!$F$3,[5]Sheet1!$F$3)</f>
        <v>0.48275433557225583</v>
      </c>
      <c r="C3" s="1">
        <f>AVERAGE([1]Sheet1!F11,[2]Sheet1!F9,[3]Sheet1!F11,[4]Sheet1!F11,[5]Sheet1!F10)</f>
        <v>0.69201135264479474</v>
      </c>
      <c r="D3" s="2">
        <f>AVERAGE([1]Sheet1!F19,[2]Sheet1!F15,[3]Sheet1!F19,[4]Sheet1!F19,[5]Sheet1!F17)</f>
        <v>0.56564909697263943</v>
      </c>
      <c r="F3">
        <f t="shared" ref="F3:F9" si="0">(2*B3*C3)/(B3+C3)</f>
        <v>0.56874572368813114</v>
      </c>
    </row>
    <row r="4" spans="1:6">
      <c r="A4" t="s">
        <v>5</v>
      </c>
      <c r="B4" s="1">
        <f>AVERAGE([1]Sheet1!F4,[2]Sheet1!F4,[3]Sheet1!F4,[4]Sheet1!F4,[5]Sheet1!F4)</f>
        <v>0.47702859329577746</v>
      </c>
      <c r="C4" s="1">
        <f>AVERAGE([1]Sheet1!F12,[2]Sheet1!F10,[3]Sheet1!F12,[4]Sheet1!F12,[5]Sheet1!F11)</f>
        <v>0.56118662302154532</v>
      </c>
      <c r="D4" s="2">
        <f>AVERAGE([1]Sheet1!F20,[2]Sheet1!F16,[3]Sheet1!F20,[4]Sheet1!F20,[5]Sheet1!F18)</f>
        <v>0.51158665225677868</v>
      </c>
      <c r="F4">
        <f t="shared" si="0"/>
        <v>0.51569667088091375</v>
      </c>
    </row>
    <row r="5" spans="1:6">
      <c r="A5" t="s">
        <v>6</v>
      </c>
      <c r="B5" s="1">
        <f>AVERAGE([1]Sheet1!F5,[2]Sheet1!F5,[3]Sheet1!F5,[4]Sheet1!F5,[5]Sheet1!F5)</f>
        <v>0.47366698831686288</v>
      </c>
      <c r="C5" s="1">
        <f>AVERAGE([1]Sheet1!F13,[2]Sheet1!F11,[3]Sheet1!F13,[4]Sheet1!F13,[5]Sheet1!F12)</f>
        <v>0.68079744483523474</v>
      </c>
      <c r="D5" s="2">
        <f>AVERAGE([1]Sheet1!F21,[2]Sheet1!F17,[3]Sheet1!F21,[4]Sheet1!F21,[5]Sheet1!F19)</f>
        <v>0.55509261518304531</v>
      </c>
      <c r="F5">
        <f t="shared" si="0"/>
        <v>0.55865086197321845</v>
      </c>
    </row>
    <row r="6" spans="1:6">
      <c r="A6" t="s">
        <v>7</v>
      </c>
      <c r="B6" s="1">
        <f>AVERAGE([1]Sheet1!F6,[2]Sheet1!F6,[3]Sheet1!F6,[4]Sheet1!F6,[5]Sheet1!F6)</f>
        <v>0.4946925016116922</v>
      </c>
      <c r="C6" s="1">
        <f>AVERAGE([1]Sheet1!F14,[2]Sheet1!F12,[3]Sheet1!F14,[4]Sheet1!F14,[5]Sheet1!F13)</f>
        <v>0.74065808007351575</v>
      </c>
      <c r="D6" s="2">
        <f>AVERAGE([1]Sheet1!F22,[2]Sheet1!F18,[3]Sheet1!F22,[4]Sheet1!F22,[5]Sheet1!F20)</f>
        <v>0.58712849241812504</v>
      </c>
      <c r="F6">
        <f t="shared" si="0"/>
        <v>0.59318869299540444</v>
      </c>
    </row>
    <row r="7" spans="1:6">
      <c r="A7" t="s">
        <v>8</v>
      </c>
      <c r="B7" s="1">
        <f>AVERAGE([1]Sheet1!F7,[3]Sheet1!F7,[4]Sheet1!F7,[5]Sheet1!F7)</f>
        <v>0.46459021578059129</v>
      </c>
      <c r="C7" s="1">
        <f>AVERAGE([1]Sheet1!F15,[3]Sheet1!F15,[4]Sheet1!F15,[5]Sheet1!F14)</f>
        <v>0.82933507777484583</v>
      </c>
      <c r="D7" s="2">
        <f>AVERAGE([1]Sheet1!F23,[3]Sheet1!F23,[4]Sheet1!F23,[5]Sheet1!F21)</f>
        <v>0.59244836789490285</v>
      </c>
      <c r="F7">
        <f t="shared" si="0"/>
        <v>0.59555364541812505</v>
      </c>
    </row>
    <row r="8" spans="1:6">
      <c r="A8" t="s">
        <v>9</v>
      </c>
      <c r="B8" s="1">
        <f>AVERAGE([1]Sheet1!D3,[2]Sheet1!D3,[3]Sheet1!D3,[4]Sheet1!D3,[5]Sheet1!D3)</f>
        <v>0.48032495582277102</v>
      </c>
      <c r="C8" s="1">
        <f>AVERAGE([1]Sheet1!D11,[2]Sheet1!D11,[3]Sheet1!D11,[4]Sheet1!D11,[5]Sheet1!D11)</f>
        <v>0.72923094165853986</v>
      </c>
      <c r="D8" s="2">
        <f>AVERAGE([1]Sheet1!D19,[2]Sheet1!D15,[3]Sheet1!D19,[4]Sheet1!D19,[5]Sheet1!D19)</f>
        <v>0.57086968538572547</v>
      </c>
      <c r="F8">
        <f>(2*B8*C8)/(B8+C8)</f>
        <v>0.57916764420083022</v>
      </c>
    </row>
    <row r="9" spans="1:6">
      <c r="A9" t="s">
        <v>10</v>
      </c>
      <c r="B9" s="1">
        <f>AVERAGE([1]Sheet1!C3,[2]Sheet1!C3,[3]Sheet1!C3,[4]Sheet1!C3,[5]Sheet1!C3)</f>
        <v>0.50731016676947416</v>
      </c>
      <c r="C9" s="1">
        <f>AVERAGE([1]Sheet1!C11,[2]Sheet1!C11,[3]Sheet1!C11,[4]Sheet1!C11,[5]Sheet1!C11)</f>
        <v>0.75457931406362655</v>
      </c>
      <c r="D9" s="2">
        <f>AVERAGE([1]Sheet1!C19,[2]Sheet1!C19,[3]Sheet1!C19,[4]Sheet1!C19,[5]Sheet1!C19)</f>
        <v>0.5705512528923361</v>
      </c>
      <c r="F9">
        <f t="shared" si="0"/>
        <v>0.60671835921111739</v>
      </c>
    </row>
    <row r="10" spans="1:6">
      <c r="A10" t="s">
        <v>11</v>
      </c>
      <c r="B10" s="1">
        <f>AVERAGE([1]Sheet1!F33,[2]Sheet1!E3,[3]Sheet1!F29,[4]Sheet1!F30,[5]Sheet1!E3)</f>
        <v>0.48698784433119507</v>
      </c>
      <c r="C10" s="1">
        <f>AVERAGE([1]Sheet1!F39,[2]Sheet1!E9,[3]Sheet1!F36,[4]Sheet1!F37,[5]Sheet1!E10)</f>
        <v>0.75898092606711898</v>
      </c>
      <c r="D10" s="2">
        <f>AVERAGE([1]Sheet1!F46,[2]Sheet1!E15,[3]Sheet1!F43,[4]Sheet1!F44,[5]Sheet1!E17)</f>
        <v>0.58437194182827124</v>
      </c>
      <c r="F10">
        <f>(2*B10*C10)/(B10+C10)</f>
        <v>0.59329654780313834</v>
      </c>
    </row>
    <row r="11" spans="1:6">
      <c r="A11" t="s">
        <v>12</v>
      </c>
      <c r="B11" s="1">
        <f>AVERAGE([1]Sheet1!E13,[2]Sheet1!J13,[3]Sheet1!E13,[4]Sheet1!E13,[5]Sheet1!$J$13)</f>
        <v>0.49196685361121695</v>
      </c>
      <c r="C11" s="1">
        <f>AVERAGE([1]Sheet1!E25,[2]Sheet1!J25,[3]Sheet1!E25,[4]Sheet1!E25,[5]Sheet1!$J$25)</f>
        <v>0.80357362483409978</v>
      </c>
      <c r="D11" s="1">
        <f>AVERAGE([1]Sheet1!E37,[2]Sheet1!E37,[3]Sheet1!E37,[4]Sheet1!E37,0.53)</f>
        <v>0.5761251032423893</v>
      </c>
      <c r="F11">
        <f>(2*B11*C11)/(B11+C11)</f>
        <v>0.61029600299174147</v>
      </c>
    </row>
    <row r="12" spans="1:6">
      <c r="A12" t="s">
        <v>13</v>
      </c>
    </row>
    <row r="13" spans="1:6">
      <c r="A13" s="3" t="s">
        <v>14</v>
      </c>
      <c r="B13">
        <f>AVERAGE([6]sub1_run1_mode2_ranktrain_N100_!B$8,[7]sub2_run1_mode2_ranktrain_N100_!B$8,[8]sub3_run1_mode2_ranktrain_N100_!B$8,[9]sub5_run1_mode2_ranktrain_N100_!B$8)</f>
        <v>0.50434815968531177</v>
      </c>
      <c r="C13">
        <f>AVERAGE([6]sub1_run1_mode2_ranktrain_N100_!C$8,[7]sub2_run1_mode2_ranktrain_N100_!C$8,[8]sub3_run1_mode2_ranktrain_N100_!C$8,[9]sub5_run1_mode2_ranktrain_N100_!C$8)</f>
        <v>0.60236074563898256</v>
      </c>
      <c r="D13">
        <f>AVERAGE([6]sub1_run1_mode2_ranktrain_N100_!D$8,[7]sub2_run1_mode2_ranktrain_N100_!D$8,[8]sub3_run1_mode2_ranktrain_N100_!D$8,[9]sub5_run1_mode2_ranktrain_N100_!D$8)</f>
        <v>0.52431801398810207</v>
      </c>
    </row>
    <row r="14" spans="1:6">
      <c r="A14" s="3" t="s">
        <v>15</v>
      </c>
      <c r="B14">
        <f>AVERAGE([10]sub1_run1_mode2_ranktrain_N200_!B$8,[11]sub2_run1_mode2_ranktrain_N200_!$B$8,[12]sub3_run1_mode2_ranktrain_N200_!$B$8,[13]sub5_run1_mode2_ranktrain_N200_!$B$8)</f>
        <v>0.51386371581968748</v>
      </c>
      <c r="C14">
        <f>AVERAGE([10]sub1_run1_mode2_ranktrain_N200_!C$8,[11]sub2_run1_mode2_ranktrain_N200_!C8,[12]sub3_run1_mode2_ranktrain_N200_!C8,[13]sub5_run1_mode2_ranktrain_N200_!C8)</f>
        <v>0.68119543421591677</v>
      </c>
      <c r="D14">
        <f>AVERAGE([10]sub1_run1_mode2_ranktrain_N200_!D$8,[11]sub2_run1_mode2_ranktrain_N200_!D8,[12]sub3_run1_mode2_ranktrain_N200_!D8,[13]sub5_run1_mode2_ranktrain_N200_!D8)</f>
        <v>0.57944922907856478</v>
      </c>
    </row>
    <row r="15" spans="1:6">
      <c r="A15" s="3" t="s">
        <v>16</v>
      </c>
      <c r="B15">
        <f>AVERAGE([14]sub1_run1_mode2_ranktrain_N300_!B8,[15]sub2_run1_mode2_ranktrain_N300_!B8,[16]sub3_run1_mode2_ranktrain_N300_!B8,[17]sub5_run1_mode2_ranktrain_N300_!B8)</f>
        <v>0.53645664460068554</v>
      </c>
      <c r="C15">
        <f>AVERAGE([14]sub1_run1_mode2_ranktrain_N300_!C8,[15]sub2_run1_mode2_ranktrain_N300_!C8,[16]sub3_run1_mode2_ranktrain_N300_!C8,[17]sub5_run1_mode2_ranktrain_N300_!C8)</f>
        <v>0.70623236591275673</v>
      </c>
      <c r="D15">
        <f>AVERAGE([14]sub1_run1_mode2_ranktrain_N300_!D8,[15]sub2_run1_mode2_ranktrain_N300_!D8,[16]sub3_run1_mode2_ranktrain_N300_!D8,[17]sub5_run1_mode2_ranktrain_N300_!D8)</f>
        <v>0.60336098024301821</v>
      </c>
    </row>
    <row r="16" spans="1:6">
      <c r="A16" s="3" t="s">
        <v>17</v>
      </c>
      <c r="B16">
        <f>AVERAGE([18]sub1_run1_mode2_ranktrain_N400_!B8,[19]sub2_run1_mode2_ranktrain_N400_!B8,[20]sub3_run1_mode2_ranktrain_N400_!B8,[21]sub5_run1_mode2_ranktrain_N400_!B8)</f>
        <v>0.51883799009486153</v>
      </c>
      <c r="C16">
        <f>AVERAGE([18]sub1_run1_mode2_ranktrain_N400_!C8,[19]sub2_run1_mode2_ranktrain_N400_!C8,[20]sub3_run1_mode2_ranktrain_N400_!C8,[21]sub5_run1_mode2_ranktrain_N400_!C8)</f>
        <v>0.71370223748556183</v>
      </c>
      <c r="D16">
        <f>AVERAGE([18]sub1_run1_mode2_ranktrain_N400_!D8,[19]sub2_run1_mode2_ranktrain_N400_!D8,[20]sub3_run1_mode2_ranktrain_N400_!D8,[21]sub5_run1_mode2_ranktrain_N400_!D8)</f>
        <v>0.59501781930712627</v>
      </c>
    </row>
    <row r="17" spans="1:4">
      <c r="A17" s="3" t="s">
        <v>18</v>
      </c>
      <c r="B17">
        <f>AVERAGE([22]sub1_run1_mode2_ranktrain_N500_!B8,[23]sub3_run1_mode2_ranktrain_N500_!B8,[24]sub5_run1_mode2_ranktrain_N500_!B8)</f>
        <v>0.51169757757493428</v>
      </c>
      <c r="C17">
        <f>AVERAGE([22]sub1_run1_mode2_ranktrain_N500_!C8,[23]sub3_run1_mode2_ranktrain_N500_!C8,[24]sub5_run1_mode2_ranktrain_N500_!C8)</f>
        <v>0.70614997777422028</v>
      </c>
      <c r="D17">
        <f>AVERAGE([22]sub1_run1_mode2_ranktrain_N500_!D8,[23]sub3_run1_mode2_ranktrain_N500_!D8,[24]sub5_run1_mode2_ranktrain_N500_!D8)</f>
        <v>0.58708609324660876</v>
      </c>
    </row>
    <row r="18" spans="1:4">
      <c r="A18" s="3" t="s">
        <v>10</v>
      </c>
    </row>
  </sheetData>
  <phoneticPr fontId="2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kazuma</dc:creator>
  <cp:lastModifiedBy>大藪　一馬</cp:lastModifiedBy>
  <dcterms:created xsi:type="dcterms:W3CDTF">2015-06-05T18:19:34Z</dcterms:created>
  <dcterms:modified xsi:type="dcterms:W3CDTF">2025-12-09T05:09:34Z</dcterms:modified>
</cp:coreProperties>
</file>