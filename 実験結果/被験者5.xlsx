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"/>
    </mc:Choice>
  </mc:AlternateContent>
  <xr:revisionPtr revIDLastSave="28" documentId="11_5B413E8F612B544405A2AA2ED1AE13A999CF4ACF" xr6:coauthVersionLast="47" xr6:coauthVersionMax="47" xr10:uidLastSave="{A9B2B9FC-33B6-4AB6-8A7F-BF45C7692F61}"/>
  <bookViews>
    <workbookView xWindow="11424" yWindow="0" windowWidth="11712" windowHeight="137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J25" i="1"/>
  <c r="D48" i="1" l="1"/>
  <c r="B48" i="1"/>
  <c r="C47" i="1"/>
  <c r="C46" i="1"/>
  <c r="C48" i="1" s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F22" i="1"/>
  <c r="F15" i="1"/>
  <c r="J13" i="1"/>
  <c r="G8" i="1"/>
  <c r="F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<sst xmlns="http://schemas.openxmlformats.org/spreadsheetml/2006/main" count="16" uniqueCount="12">
  <si>
    <t>適合率</t>
  </si>
  <si>
    <t>fastText+BERT(全レビュー)</t>
  </si>
  <si>
    <t>fastText+BERT(全レビュー+us)</t>
  </si>
  <si>
    <t>fastText+BERT(全レビュー+rus)</t>
  </si>
  <si>
    <t>fastText+BERT(抽出レビュー)</t>
  </si>
  <si>
    <t>rus10回</t>
  </si>
  <si>
    <t>再現率</t>
  </si>
  <si>
    <t>F値</t>
  </si>
  <si>
    <t>先行研究</t>
  </si>
  <si>
    <t>平均</t>
  </si>
  <si>
    <t>正例522</t>
  </si>
  <si>
    <t>負例537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</si>
</sst>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/>
    <xf numFmtId="0" fontId="0" fillId="0" borderId="5" xfId="0" applyBorder="1" applyAlignment="1"/>
    <xf numFmtId="0" fontId="0" fillId="2" borderId="0" xfId="0" applyFill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5</a:t>
            </a:r>
            <a:r>
              <a:rPr lang="ja-JP" altLang="en-US" sz="1800"/>
              <a:t>の再現率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再現率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Sheet1!$B$10:$B$14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Sheet1!$F$10:$F$14</c:f>
              <c:numCache>
                <c:formatCode>General</c:formatCode>
                <c:ptCount val="5"/>
                <c:pt idx="0">
                  <c:v>0.81997804610318337</c:v>
                </c:pt>
                <c:pt idx="1">
                  <c:v>0.75740944017563117</c:v>
                </c:pt>
                <c:pt idx="2">
                  <c:v>0.8902305159165752</c:v>
                </c:pt>
                <c:pt idx="3">
                  <c:v>0.77607025246981343</c:v>
                </c:pt>
                <c:pt idx="4">
                  <c:v>0.72996706915477494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68-4C9D-B0B3-101F1F7E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再現率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5</a:t>
            </a:r>
            <a:r>
              <a:rPr lang="ja-JP" altLang="en-US" sz="1800"/>
              <a:t>の適合率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[1]Sheet1!$B$11:$B$15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0.50303030303030305</c:v>
                </c:pt>
                <c:pt idx="1">
                  <c:v>0.50586510263929618</c:v>
                </c:pt>
                <c:pt idx="2">
                  <c:v>0.51102709514807809</c:v>
                </c:pt>
                <c:pt idx="3">
                  <c:v>0.50936599423631124</c:v>
                </c:pt>
                <c:pt idx="4">
                  <c:v>0.4907749077490775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A-4E4A-B901-B6B19931B82F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Sheet1!$D$3:$D$7</c:f>
              <c:numCache>
                <c:formatCode>General</c:formatCode>
                <c:ptCount val="5"/>
                <c:pt idx="0">
                  <c:v>0.52328334648776642</c:v>
                </c:pt>
                <c:pt idx="1">
                  <c:v>0.52328334648776642</c:v>
                </c:pt>
                <c:pt idx="2">
                  <c:v>0.52328334648776642</c:v>
                </c:pt>
                <c:pt idx="3">
                  <c:v>0.52328334648776642</c:v>
                </c:pt>
                <c:pt idx="4">
                  <c:v>0.52328334648776642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A-4E4A-B901-B6B19931B82F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Sheet1!$C$3:$C$7</c:f>
              <c:numCache>
                <c:formatCode>General</c:formatCode>
                <c:ptCount val="5"/>
                <c:pt idx="0">
                  <c:v>0.50278293135435992</c:v>
                </c:pt>
                <c:pt idx="1">
                  <c:v>0.50278293135435992</c:v>
                </c:pt>
                <c:pt idx="2">
                  <c:v>0.50278293135435992</c:v>
                </c:pt>
                <c:pt idx="3">
                  <c:v>0.50278293135435992</c:v>
                </c:pt>
                <c:pt idx="4">
                  <c:v>0.50278293135435992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A-4E4A-B901-B6B19931B82F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Sheet1!$E$3:$E$7</c:f>
              <c:numCache>
                <c:formatCode>General</c:formatCode>
                <c:ptCount val="5"/>
                <c:pt idx="0">
                  <c:v>0.49570200573065898</c:v>
                </c:pt>
                <c:pt idx="1">
                  <c:v>0.49570200573065898</c:v>
                </c:pt>
                <c:pt idx="2">
                  <c:v>0.49570200573065898</c:v>
                </c:pt>
                <c:pt idx="3">
                  <c:v>0.49570200573065898</c:v>
                </c:pt>
                <c:pt idx="4">
                  <c:v>0.49570200573065898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8A-4E4A-B901-B6B19931B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49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適合率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  <c:majorUnit val="5.000000000000001E-3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5</a:t>
            </a:r>
            <a:r>
              <a:rPr lang="ja-JP" altLang="en-US" sz="1800"/>
              <a:t>の再現率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[1]Sheet1!$B$11:$B$15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Sheet1!$F$10:$F$14</c:f>
              <c:numCache>
                <c:formatCode>General</c:formatCode>
                <c:ptCount val="5"/>
                <c:pt idx="0">
                  <c:v>0.81997804610318337</c:v>
                </c:pt>
                <c:pt idx="1">
                  <c:v>0.75740944017563117</c:v>
                </c:pt>
                <c:pt idx="2">
                  <c:v>0.8902305159165752</c:v>
                </c:pt>
                <c:pt idx="3">
                  <c:v>0.77607025246981343</c:v>
                </c:pt>
                <c:pt idx="4">
                  <c:v>0.72996706915477494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D-4125-B755-6A7BD3369028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Sheet1!$D$10:$D$14</c:f>
              <c:numCache>
                <c:formatCode>General</c:formatCode>
                <c:ptCount val="5"/>
                <c:pt idx="0">
                  <c:v>0.7277716794731065</c:v>
                </c:pt>
                <c:pt idx="1">
                  <c:v>0.7277716794731065</c:v>
                </c:pt>
                <c:pt idx="2">
                  <c:v>0.7277716794731065</c:v>
                </c:pt>
                <c:pt idx="3">
                  <c:v>0.7277716794731065</c:v>
                </c:pt>
                <c:pt idx="4">
                  <c:v>0.7277716794731065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D-4125-B755-6A7BD3369028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Sheet1!$C$10:$C$14</c:f>
              <c:numCache>
                <c:formatCode>General</c:formatCode>
                <c:ptCount val="5"/>
                <c:pt idx="0">
                  <c:v>0.89242590559824364</c:v>
                </c:pt>
                <c:pt idx="1">
                  <c:v>0.89242590559824364</c:v>
                </c:pt>
                <c:pt idx="2">
                  <c:v>0.89242590559824364</c:v>
                </c:pt>
                <c:pt idx="3">
                  <c:v>0.89242590559824364</c:v>
                </c:pt>
                <c:pt idx="4">
                  <c:v>0.89242590559824364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FD-4125-B755-6A7BD3369028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Sheet1!$E$10:$E$14</c:f>
              <c:numCache>
                <c:formatCode>General</c:formatCode>
                <c:ptCount val="5"/>
                <c:pt idx="0">
                  <c:v>0.56970362239297478</c:v>
                </c:pt>
                <c:pt idx="1">
                  <c:v>0.56970362239297478</c:v>
                </c:pt>
                <c:pt idx="2">
                  <c:v>0.56970362239297478</c:v>
                </c:pt>
                <c:pt idx="3">
                  <c:v>0.56970362239297478</c:v>
                </c:pt>
                <c:pt idx="4">
                  <c:v>0.56970362239297478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FD-4125-B755-6A7BD336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再現率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/>
              <a:t>被験者</a:t>
            </a:r>
            <a:r>
              <a:rPr lang="en-US" altLang="ja-JP" sz="1800"/>
              <a:t>5</a:t>
            </a:r>
            <a:r>
              <a:rPr lang="ja-JP" altLang="en-US" sz="1800"/>
              <a:t>の</a:t>
            </a:r>
            <a:r>
              <a:rPr lang="en-US" altLang="ja-JP" sz="1800"/>
              <a:t>F</a:t>
            </a:r>
            <a:r>
              <a:rPr lang="ja-JP" altLang="en-US" sz="1800"/>
              <a:t>値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提案手法1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[1]Sheet1!$B$11:$B$15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Sheet1!$F$17:$F$21</c:f>
              <c:numCache>
                <c:formatCode>General</c:formatCode>
                <c:ptCount val="5"/>
                <c:pt idx="0">
                  <c:v>0.62353923205342232</c:v>
                </c:pt>
                <c:pt idx="1">
                  <c:v>0.60659340659340655</c:v>
                </c:pt>
                <c:pt idx="2">
                  <c:v>0.64931945556445159</c:v>
                </c:pt>
                <c:pt idx="3">
                  <c:v>0.61505002174858636</c:v>
                </c:pt>
                <c:pt idx="4">
                  <c:v>0.58693733451015007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D-402D-9B65-F4AF9AD13148}"/>
            </c:ext>
          </c:extLst>
        </c:ser>
        <c:ser>
          <c:idx val="1"/>
          <c:order val="1"/>
          <c:tx>
            <c:v>提案手法2</c:v>
          </c:tx>
          <c:marker>
            <c:symbol val="none"/>
          </c:marker>
          <c:val>
            <c:numRef>
              <c:f>Sheet1!$D$17:$D$21</c:f>
              <c:numCache>
                <c:formatCode>General</c:formatCode>
                <c:ptCount val="5"/>
                <c:pt idx="0">
                  <c:v>0.60881542699724522</c:v>
                </c:pt>
                <c:pt idx="1">
                  <c:v>0.60881542699724522</c:v>
                </c:pt>
                <c:pt idx="2">
                  <c:v>0.60881542699724522</c:v>
                </c:pt>
                <c:pt idx="3">
                  <c:v>0.60881542699724522</c:v>
                </c:pt>
                <c:pt idx="4">
                  <c:v>0.60881542699724522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D-402D-9B65-F4AF9AD13148}"/>
            </c:ext>
          </c:extLst>
        </c:ser>
        <c:ser>
          <c:idx val="2"/>
          <c:order val="2"/>
          <c:tx>
            <c:v>比較手法1</c:v>
          </c:tx>
          <c:marker>
            <c:symbol val="none"/>
          </c:marker>
          <c:val>
            <c:numRef>
              <c:f>Sheet1!$C$17:$C$21</c:f>
              <c:numCache>
                <c:formatCode>General</c:formatCode>
                <c:ptCount val="5"/>
                <c:pt idx="0">
                  <c:v>0.64319620253164556</c:v>
                </c:pt>
                <c:pt idx="1">
                  <c:v>0.64319620253164556</c:v>
                </c:pt>
                <c:pt idx="2">
                  <c:v>0.64319620253164556</c:v>
                </c:pt>
                <c:pt idx="3">
                  <c:v>0.64319620253164556</c:v>
                </c:pt>
                <c:pt idx="4">
                  <c:v>0.64319620253164556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0D-402D-9B65-F4AF9AD13148}"/>
            </c:ext>
          </c:extLst>
        </c:ser>
        <c:ser>
          <c:idx val="3"/>
          <c:order val="3"/>
          <c:tx>
            <c:v>比較手法2</c:v>
          </c:tx>
          <c:marker>
            <c:symbol val="none"/>
          </c:marker>
          <c:val>
            <c:numRef>
              <c:f>Sheet1!$E$17:$E$21</c:f>
              <c:numCache>
                <c:formatCode>General</c:formatCode>
                <c:ptCount val="5"/>
                <c:pt idx="0">
                  <c:v>0.53013278855975488</c:v>
                </c:pt>
                <c:pt idx="1">
                  <c:v>0.53013278855975488</c:v>
                </c:pt>
                <c:pt idx="2">
                  <c:v>0.53013278855975488</c:v>
                </c:pt>
                <c:pt idx="3">
                  <c:v>0.53013278855975488</c:v>
                </c:pt>
                <c:pt idx="4">
                  <c:v>0.53013278855975488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0D-402D-9B65-F4AF9AD13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488959"/>
        <c:axId val="1283484639"/>
      </c:lineChart>
      <c:catAx>
        <c:axId val="128348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レビュー数</a:t>
                </a:r>
                <a:r>
                  <a:rPr lang="en-US" altLang="ja-JP"/>
                  <a:t>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4639"/>
        <c:crosses val="autoZero"/>
        <c:auto val="1"/>
        <c:lblAlgn val="ctr"/>
        <c:lblOffset val="100"/>
        <c:noMultiLvlLbl val="0"/>
      </c:catAx>
      <c:valAx>
        <c:axId val="128348463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</a:t>
                </a:r>
                <a:r>
                  <a:rPr lang="ja-JP" altLang="en-US"/>
                  <a:t>値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34889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26</xdr:row>
      <xdr:rowOff>0</xdr:rowOff>
    </xdr:from>
    <xdr:to>
      <xdr:col>7</xdr:col>
      <xdr:colOff>442174</xdr:colOff>
      <xdr:row>37</xdr:row>
      <xdr:rowOff>208789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0</xdr:row>
      <xdr:rowOff>106680</xdr:rowOff>
    </xdr:from>
    <xdr:to>
      <xdr:col>18</xdr:col>
      <xdr:colOff>184348</xdr:colOff>
      <xdr:row>14</xdr:row>
      <xdr:rowOff>143036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975AB88-01E0-45EC-8B57-AF5A67ACE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274320</xdr:colOff>
      <xdr:row>16</xdr:row>
      <xdr:rowOff>91440</xdr:rowOff>
    </xdr:from>
    <xdr:to>
      <xdr:col>18</xdr:col>
      <xdr:colOff>230068</xdr:colOff>
      <xdr:row>30</xdr:row>
      <xdr:rowOff>104936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6ADA686-34C6-4B2E-935D-5C24A683F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251460</xdr:colOff>
      <xdr:row>32</xdr:row>
      <xdr:rowOff>175260</xdr:rowOff>
    </xdr:from>
    <xdr:to>
      <xdr:col>18</xdr:col>
      <xdr:colOff>207208</xdr:colOff>
      <xdr:row>46</xdr:row>
      <xdr:rowOff>226856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73CFA73-FD29-46CA-8F30-5AD1B849A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.xlsx" TargetMode="External"/><Relationship Id="rId1" Type="http://schemas.openxmlformats.org/officeDocument/2006/relationships/externalLinkPath" Target="&#34987;&#39443;&#32773;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>
            <v>100</v>
          </cell>
        </row>
        <row r="12">
          <cell r="B12">
            <v>200</v>
          </cell>
        </row>
        <row r="13">
          <cell r="B13">
            <v>300</v>
          </cell>
        </row>
        <row r="14">
          <cell r="B14">
            <v>400</v>
          </cell>
        </row>
        <row r="15">
          <cell r="B15">
            <v>500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F7" workbookViewId="0">
      <selection activeCell="J37" sqref="J37"/>
    </sheetView>
  </sheetViews>
  <sheetFormatPr defaultRowHeight="18" x14ac:dyDescent="0.45"/>
  <cols>
    <col min="2" max="2" width="13.69921875" style="1" customWidth="1"/>
    <col min="3" max="3" width="27.19921875" style="1" bestFit="1" customWidth="1"/>
    <col min="4" max="4" width="26.59765625" style="1" customWidth="1"/>
    <col min="5" max="5" width="28.3984375" style="1" customWidth="1"/>
    <col min="6" max="6" width="26" style="1" customWidth="1"/>
  </cols>
  <sheetData>
    <row r="1" spans="2:10" x14ac:dyDescent="0.45">
      <c r="B1" t="s">
        <v>0</v>
      </c>
    </row>
    <row r="2" spans="2:10" x14ac:dyDescent="0.45">
      <c r="B2"/>
      <c r="C2" t="s">
        <v>1</v>
      </c>
      <c r="D2" t="s">
        <v>2</v>
      </c>
      <c r="E2" t="s">
        <v>3</v>
      </c>
      <c r="F2" t="s">
        <v>4</v>
      </c>
      <c r="G2" t="s">
        <v>5</v>
      </c>
      <c r="J2" t="s">
        <v>5</v>
      </c>
    </row>
    <row r="3" spans="2:10" x14ac:dyDescent="0.45">
      <c r="B3"/>
      <c r="C3">
        <v>0.50278293135435992</v>
      </c>
      <c r="D3">
        <v>0.52328334648776642</v>
      </c>
      <c r="E3">
        <v>0.49570200573065898</v>
      </c>
      <c r="F3">
        <v>0.50303030303030305</v>
      </c>
      <c r="G3">
        <f>J13</f>
        <v>0.51514924771564352</v>
      </c>
      <c r="J3">
        <v>0.50752508361204018</v>
      </c>
    </row>
    <row r="4" spans="2:10" x14ac:dyDescent="0.45">
      <c r="B4"/>
      <c r="C4">
        <v>0.50278293135435992</v>
      </c>
      <c r="D4">
        <v>0.52328334648776642</v>
      </c>
      <c r="E4">
        <v>0.49570200573065898</v>
      </c>
      <c r="F4">
        <v>0.50586510263929618</v>
      </c>
      <c r="G4">
        <f>J13</f>
        <v>0.51514924771564352</v>
      </c>
      <c r="J4">
        <v>0.52020202020202022</v>
      </c>
    </row>
    <row r="5" spans="2:10" x14ac:dyDescent="0.45">
      <c r="B5"/>
      <c r="C5">
        <v>0.50278293135435992</v>
      </c>
      <c r="D5">
        <v>0.52328334648776642</v>
      </c>
      <c r="E5">
        <v>0.49570200573065898</v>
      </c>
      <c r="F5" s="8">
        <v>0.51102709514807809</v>
      </c>
      <c r="G5">
        <f>J13</f>
        <v>0.51514924771564352</v>
      </c>
      <c r="J5">
        <v>0.51772063933287005</v>
      </c>
    </row>
    <row r="6" spans="2:10" x14ac:dyDescent="0.45">
      <c r="B6"/>
      <c r="C6">
        <v>0.50278293135435992</v>
      </c>
      <c r="D6">
        <v>0.52328334648776642</v>
      </c>
      <c r="E6">
        <v>0.49570200573065898</v>
      </c>
      <c r="F6">
        <v>0.50936599423631124</v>
      </c>
      <c r="G6">
        <f>J13</f>
        <v>0.51514924771564352</v>
      </c>
    </row>
    <row r="7" spans="2:10" ht="18.600000000000001" customHeight="1" thickBot="1" x14ac:dyDescent="0.5">
      <c r="B7"/>
      <c r="C7">
        <v>0.50278293135435992</v>
      </c>
      <c r="D7">
        <v>0.52328334648776642</v>
      </c>
      <c r="E7">
        <v>0.49570200573065898</v>
      </c>
      <c r="F7">
        <v>0.4907749077490775</v>
      </c>
      <c r="G7">
        <f>J17</f>
        <v>0</v>
      </c>
    </row>
    <row r="8" spans="2:10" ht="18.600000000000001" customHeight="1" thickBot="1" x14ac:dyDescent="0.5">
      <c r="F8" s="9">
        <f>AVERAGE(F3:F7)</f>
        <v>0.50401268056061321</v>
      </c>
      <c r="G8">
        <f>J18</f>
        <v>0</v>
      </c>
    </row>
    <row r="9" spans="2:10" x14ac:dyDescent="0.45">
      <c r="B9" t="s">
        <v>6</v>
      </c>
    </row>
    <row r="10" spans="2:10" x14ac:dyDescent="0.45">
      <c r="B10">
        <v>100</v>
      </c>
      <c r="C10">
        <v>0.89242590559824364</v>
      </c>
      <c r="D10">
        <v>0.7277716794731065</v>
      </c>
      <c r="E10">
        <v>0.56970362239297478</v>
      </c>
      <c r="F10">
        <v>0.81997804610318337</v>
      </c>
      <c r="G10" s="3"/>
    </row>
    <row r="11" spans="2:10" x14ac:dyDescent="0.45">
      <c r="B11">
        <v>200</v>
      </c>
      <c r="C11">
        <v>0.89242590559824364</v>
      </c>
      <c r="D11">
        <v>0.7277716794731065</v>
      </c>
      <c r="E11">
        <v>0.56970362239297478</v>
      </c>
      <c r="F11">
        <v>0.75740944017563117</v>
      </c>
    </row>
    <row r="12" spans="2:10" ht="18.600000000000001" customHeight="1" thickBot="1" x14ac:dyDescent="0.5">
      <c r="B12">
        <v>300</v>
      </c>
      <c r="C12">
        <v>0.89242590559824364</v>
      </c>
      <c r="D12">
        <v>0.7277716794731065</v>
      </c>
      <c r="E12">
        <v>0.56970362239297478</v>
      </c>
      <c r="F12" s="8">
        <v>0.8902305159165752</v>
      </c>
    </row>
    <row r="13" spans="2:10" ht="18.600000000000001" customHeight="1" thickBot="1" x14ac:dyDescent="0.5">
      <c r="B13">
        <v>400</v>
      </c>
      <c r="C13">
        <v>0.89242590559824364</v>
      </c>
      <c r="D13">
        <v>0.7277716794731065</v>
      </c>
      <c r="E13">
        <v>0.56970362239297478</v>
      </c>
      <c r="F13">
        <v>0.77607025246981343</v>
      </c>
      <c r="J13" s="9">
        <f>AVERAGE(J3:J12)</f>
        <v>0.51514924771564352</v>
      </c>
    </row>
    <row r="14" spans="2:10" ht="18.600000000000001" customHeight="1" thickBot="1" x14ac:dyDescent="0.5">
      <c r="B14">
        <v>500</v>
      </c>
      <c r="C14">
        <v>0.89242590559824364</v>
      </c>
      <c r="D14">
        <v>0.7277716794731065</v>
      </c>
      <c r="E14">
        <v>0.56970362239297478</v>
      </c>
      <c r="F14">
        <v>0.72996706915477494</v>
      </c>
      <c r="J14">
        <v>0.66630076838638863</v>
      </c>
    </row>
    <row r="15" spans="2:10" ht="18.600000000000001" customHeight="1" thickBot="1" x14ac:dyDescent="0.5">
      <c r="F15" s="9">
        <f>AVERAGE(F10:F14)</f>
        <v>0.79473106476399558</v>
      </c>
      <c r="J15">
        <v>0.79143798024149281</v>
      </c>
    </row>
    <row r="16" spans="2:10" x14ac:dyDescent="0.45">
      <c r="B16" t="s">
        <v>7</v>
      </c>
      <c r="J16">
        <v>0.81778265642151482</v>
      </c>
    </row>
    <row r="17" spans="2:10" x14ac:dyDescent="0.45">
      <c r="B17"/>
      <c r="C17">
        <v>0.64319620253164556</v>
      </c>
      <c r="D17">
        <v>0.60881542699724522</v>
      </c>
      <c r="E17">
        <v>0.53013278855975488</v>
      </c>
      <c r="F17">
        <v>0.62353923205342232</v>
      </c>
    </row>
    <row r="18" spans="2:10" x14ac:dyDescent="0.45">
      <c r="B18"/>
      <c r="C18">
        <v>0.64319620253164556</v>
      </c>
      <c r="D18">
        <v>0.60881542699724522</v>
      </c>
      <c r="E18">
        <v>0.53013278855975488</v>
      </c>
      <c r="F18">
        <v>0.60659340659340655</v>
      </c>
      <c r="G18" s="3"/>
    </row>
    <row r="19" spans="2:10" x14ac:dyDescent="0.45">
      <c r="B19"/>
      <c r="C19">
        <v>0.64319620253164556</v>
      </c>
      <c r="D19">
        <v>0.60881542699724522</v>
      </c>
      <c r="E19">
        <v>0.53013278855975488</v>
      </c>
      <c r="F19" s="8">
        <v>0.64931945556445159</v>
      </c>
    </row>
    <row r="20" spans="2:10" x14ac:dyDescent="0.45">
      <c r="B20"/>
      <c r="C20">
        <v>0.64319620253164556</v>
      </c>
      <c r="D20">
        <v>0.60881542699724522</v>
      </c>
      <c r="E20">
        <v>0.53013278855975488</v>
      </c>
      <c r="F20">
        <v>0.61505002174858636</v>
      </c>
    </row>
    <row r="21" spans="2:10" ht="21" customHeight="1" thickBot="1" x14ac:dyDescent="0.5">
      <c r="B21"/>
      <c r="C21">
        <v>0.64319620253164556</v>
      </c>
      <c r="D21">
        <v>0.60881542699724522</v>
      </c>
      <c r="E21">
        <v>0.53013278855975488</v>
      </c>
      <c r="F21">
        <v>0.58693733451015007</v>
      </c>
    </row>
    <row r="22" spans="2:10" ht="18.600000000000001" customHeight="1" thickBot="1" x14ac:dyDescent="0.5">
      <c r="B22"/>
      <c r="C22">
        <v>0.64319620253164556</v>
      </c>
      <c r="D22">
        <v>0.60881542699724522</v>
      </c>
      <c r="E22">
        <v>0.53013278855975488</v>
      </c>
      <c r="F22" s="9">
        <f>AVERAGE(F17:F21)</f>
        <v>0.61628789009400342</v>
      </c>
    </row>
    <row r="23" spans="2:10" ht="19.2" customHeight="1" x14ac:dyDescent="0.45">
      <c r="B23"/>
    </row>
    <row r="24" spans="2:10" ht="17.399999999999999" customHeight="1" thickBot="1" x14ac:dyDescent="0.5"/>
    <row r="25" spans="2:10" ht="18.600000000000001" customHeight="1" thickBot="1" x14ac:dyDescent="0.5">
      <c r="G25" s="3"/>
      <c r="J25" s="9">
        <f>AVERAGE(J14:J24)</f>
        <v>0.75850713501646538</v>
      </c>
    </row>
    <row r="26" spans="2:10" x14ac:dyDescent="0.45">
      <c r="B26"/>
      <c r="J26">
        <v>0.57617465590887518</v>
      </c>
    </row>
    <row r="27" spans="2:10" x14ac:dyDescent="0.45">
      <c r="B27" t="s">
        <v>8</v>
      </c>
      <c r="J27">
        <v>0.62777535916412708</v>
      </c>
    </row>
    <row r="28" spans="2:10" x14ac:dyDescent="0.45">
      <c r="B28" t="s">
        <v>0</v>
      </c>
      <c r="C28" t="s">
        <v>6</v>
      </c>
      <c r="D28" t="s">
        <v>7</v>
      </c>
      <c r="J28">
        <v>0.63404255319148939</v>
      </c>
    </row>
    <row r="29" spans="2:10" x14ac:dyDescent="0.45">
      <c r="B29" s="2">
        <v>0.53846153846153844</v>
      </c>
      <c r="C29">
        <f t="shared" ref="C29:C47" si="0">(B29*D29)/(2*B29-D29)</f>
        <v>1.5250544662309365E-2</v>
      </c>
      <c r="D29" s="2">
        <v>2.966101694915254E-2</v>
      </c>
    </row>
    <row r="30" spans="2:10" x14ac:dyDescent="0.45">
      <c r="B30" s="2">
        <v>0.53846153846153844</v>
      </c>
      <c r="C30">
        <f t="shared" si="0"/>
        <v>1.5250544662309365E-2</v>
      </c>
      <c r="D30" s="2">
        <v>2.966101694915254E-2</v>
      </c>
    </row>
    <row r="31" spans="2:10" ht="17.399999999999999" customHeight="1" x14ac:dyDescent="0.45">
      <c r="B31" s="2">
        <v>0.53846153846153844</v>
      </c>
      <c r="C31">
        <f t="shared" si="0"/>
        <v>1.5250544662309365E-2</v>
      </c>
      <c r="D31" s="2">
        <v>2.966101694915254E-2</v>
      </c>
    </row>
    <row r="32" spans="2:10" x14ac:dyDescent="0.45">
      <c r="B32" s="2">
        <v>0.54166666666666663</v>
      </c>
      <c r="C32">
        <f t="shared" si="0"/>
        <v>1.4161220043572982E-2</v>
      </c>
      <c r="D32" s="2">
        <v>2.760084925690021E-2</v>
      </c>
    </row>
    <row r="33" spans="1:10" x14ac:dyDescent="0.45">
      <c r="B33" s="2">
        <v>0.54166666666666663</v>
      </c>
      <c r="C33">
        <f t="shared" si="0"/>
        <v>1.4161220043572982E-2</v>
      </c>
      <c r="D33" s="2">
        <v>2.760084925690021E-2</v>
      </c>
    </row>
    <row r="34" spans="1:10" x14ac:dyDescent="0.45">
      <c r="B34" s="2">
        <v>0.53846153846153844</v>
      </c>
      <c r="C34">
        <f t="shared" si="0"/>
        <v>1.5250544662309365E-2</v>
      </c>
      <c r="D34" s="2">
        <v>2.966101694915254E-2</v>
      </c>
    </row>
    <row r="35" spans="1:10" x14ac:dyDescent="0.45">
      <c r="B35" s="2">
        <v>0.53846153846153844</v>
      </c>
      <c r="C35">
        <f t="shared" si="0"/>
        <v>1.5250544662309365E-2</v>
      </c>
      <c r="D35" s="2">
        <v>2.966101694915254E-2</v>
      </c>
    </row>
    <row r="36" spans="1:10" ht="18.600000000000001" customHeight="1" thickBot="1" x14ac:dyDescent="0.5">
      <c r="B36" s="2">
        <v>0.53846153846153844</v>
      </c>
      <c r="C36">
        <f t="shared" si="0"/>
        <v>1.5250544662309365E-2</v>
      </c>
      <c r="D36" s="2">
        <v>2.966101694915254E-2</v>
      </c>
    </row>
    <row r="37" spans="1:10" ht="18.600000000000001" customHeight="1" thickBot="1" x14ac:dyDescent="0.5">
      <c r="B37" s="2">
        <v>0.45454545454545447</v>
      </c>
      <c r="C37">
        <f t="shared" si="0"/>
        <v>1.0893246187363835E-2</v>
      </c>
      <c r="D37" s="2">
        <v>2.1276595744680851E-2</v>
      </c>
      <c r="J37" s="9">
        <f>AVERAGE(J27:J36)</f>
        <v>0.63090895617780829</v>
      </c>
    </row>
    <row r="38" spans="1:10" x14ac:dyDescent="0.45">
      <c r="B38" s="2">
        <v>0.53846153846153844</v>
      </c>
      <c r="C38">
        <f t="shared" si="0"/>
        <v>1.5250544662309365E-2</v>
      </c>
      <c r="D38" s="2">
        <v>2.966101694915254E-2</v>
      </c>
    </row>
    <row r="39" spans="1:10" x14ac:dyDescent="0.45">
      <c r="B39" s="2">
        <v>0.53846153846153844</v>
      </c>
      <c r="C39">
        <f t="shared" si="0"/>
        <v>1.5250544662309365E-2</v>
      </c>
      <c r="D39" s="2">
        <v>2.966101694915254E-2</v>
      </c>
    </row>
    <row r="40" spans="1:10" x14ac:dyDescent="0.45">
      <c r="B40" s="2">
        <v>0.53846153846153844</v>
      </c>
      <c r="C40">
        <f t="shared" si="0"/>
        <v>1.5250544662309365E-2</v>
      </c>
      <c r="D40" s="2">
        <v>2.966101694915254E-2</v>
      </c>
    </row>
    <row r="41" spans="1:10" x14ac:dyDescent="0.45">
      <c r="B41" s="2">
        <v>0.53846153846153844</v>
      </c>
      <c r="C41">
        <f t="shared" si="0"/>
        <v>1.5250544662309365E-2</v>
      </c>
      <c r="D41" s="2">
        <v>2.966101694915254E-2</v>
      </c>
    </row>
    <row r="42" spans="1:10" x14ac:dyDescent="0.45">
      <c r="B42" s="2">
        <v>0.53846153846153844</v>
      </c>
      <c r="C42">
        <f t="shared" si="0"/>
        <v>1.5250544662309365E-2</v>
      </c>
      <c r="D42" s="2">
        <v>2.966101694915254E-2</v>
      </c>
    </row>
    <row r="43" spans="1:10" x14ac:dyDescent="0.45">
      <c r="B43" s="2">
        <v>0.52</v>
      </c>
      <c r="C43">
        <f t="shared" si="0"/>
        <v>1.4161220043572982E-2</v>
      </c>
      <c r="D43" s="2">
        <v>2.757158006362672E-2</v>
      </c>
    </row>
    <row r="44" spans="1:10" x14ac:dyDescent="0.45">
      <c r="B44" s="2">
        <v>0.54166666666666663</v>
      </c>
      <c r="C44">
        <f t="shared" si="0"/>
        <v>1.4161220043572982E-2</v>
      </c>
      <c r="D44" s="2">
        <v>2.760084925690021E-2</v>
      </c>
    </row>
    <row r="45" spans="1:10" x14ac:dyDescent="0.45">
      <c r="B45" s="2">
        <v>0.56000000000000005</v>
      </c>
      <c r="C45">
        <f t="shared" si="0"/>
        <v>1.525054466230937E-2</v>
      </c>
      <c r="D45" s="2">
        <v>2.969247083775186E-2</v>
      </c>
    </row>
    <row r="46" spans="1:10" ht="18.600000000000001" customHeight="1" thickBot="1" x14ac:dyDescent="0.5">
      <c r="B46" s="2">
        <v>0.51851851851851849</v>
      </c>
      <c r="C46">
        <f t="shared" si="0"/>
        <v>1.525054466230937E-2</v>
      </c>
      <c r="D46" s="4">
        <v>2.9629629629629631E-2</v>
      </c>
    </row>
    <row r="47" spans="1:10" ht="18.600000000000001" customHeight="1" thickBot="1" x14ac:dyDescent="0.5">
      <c r="B47" s="2">
        <v>0.5357142857142857</v>
      </c>
      <c r="C47">
        <f t="shared" si="0"/>
        <v>1.6339869281045749E-2</v>
      </c>
      <c r="D47">
        <v>3.1712473572938688E-2</v>
      </c>
    </row>
    <row r="48" spans="1:10" ht="18.600000000000001" customHeight="1" thickBot="1" x14ac:dyDescent="0.5">
      <c r="A48" s="5" t="s">
        <v>9</v>
      </c>
      <c r="B48" s="6">
        <f>AVERAGE(B28:B47)</f>
        <v>0.53351869378185168</v>
      </c>
      <c r="C48" s="6">
        <f>AVERAGE(C28:C47)</f>
        <v>1.4849214539617009E-2</v>
      </c>
      <c r="D48" s="7">
        <f>AVERAGE(D28:D47)</f>
        <v>2.8892446529474008E-2</v>
      </c>
    </row>
    <row r="52" spans="2:2" x14ac:dyDescent="0.45">
      <c r="B52" t="s">
        <v>10</v>
      </c>
    </row>
    <row r="53" spans="2:2" x14ac:dyDescent="0.45">
      <c r="B53" t="s">
        <v>11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大藪　一馬</dc:creator>
  <cp:lastModifiedBy>大藪　一馬</cp:lastModifiedBy>
  <dcterms:created xsi:type="dcterms:W3CDTF">2024-12-29T16:27:51Z</dcterms:created>
  <dcterms:modified xsi:type="dcterms:W3CDTF">2025-12-01T11:52:07Z</dcterms:modified>
</cp:coreProperties>
</file>