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system/実験結果/"/>
    </mc:Choice>
  </mc:AlternateContent>
  <xr:revisionPtr revIDLastSave="88" documentId="11_02E16F3B1230CD440B1E1FFD9D2BA76C451B3ED3" xr6:coauthVersionLast="47" xr6:coauthVersionMax="47" xr10:uidLastSave="{AB0DE2BD-6924-4716-A302-63C9AFA2EF4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J13" i="1"/>
  <c r="J37" i="1"/>
  <c r="J25" i="1"/>
  <c r="G9" i="1" s="1"/>
  <c r="D48" i="1"/>
  <c r="B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F19" i="1"/>
  <c r="F13" i="1"/>
  <c r="B12" i="1"/>
  <c r="B11" i="1"/>
  <c r="B10" i="1"/>
  <c r="B9" i="1"/>
  <c r="F7" i="1"/>
  <c r="C48" i="1" l="1"/>
</calcChain>
</file>

<file path=xl/sharedStrings.xml><?xml version="1.0" encoding="utf-8"?>
<sst xmlns="http://schemas.openxmlformats.org/spreadsheetml/2006/main" count="18" uniqueCount="14">
  <si>
    <t>適合率</t>
  </si>
  <si>
    <t>n</t>
  </si>
  <si>
    <t>fastText+SVM</t>
  </si>
  <si>
    <t>fastText+BERT(全レビュー)</t>
  </si>
  <si>
    <t>fastText+BERT(全レビュー+us)</t>
  </si>
  <si>
    <t>fastText+BERT(全レビュー+rus)</t>
  </si>
  <si>
    <t>fastText+BERT(抽出レビュー)</t>
  </si>
  <si>
    <t>平均</t>
  </si>
  <si>
    <t>再現率</t>
  </si>
  <si>
    <t>F値</t>
  </si>
  <si>
    <t>先行研究</t>
  </si>
  <si>
    <t>正例329</t>
    <rPh sb="0" eb="1">
      <t>セイ</t>
    </rPh>
    <rPh sb="1" eb="2">
      <t>レイ</t>
    </rPh>
    <phoneticPr fontId="1"/>
  </si>
  <si>
    <t>負例491</t>
    <rPh sb="0" eb="1">
      <t>マ</t>
    </rPh>
    <rPh sb="1" eb="2">
      <t>レイ</t>
    </rPh>
    <phoneticPr fontId="1"/>
  </si>
  <si>
    <t>rus10回</t>
    <rPh sb="5" eb="6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</si>
</sst>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J13" sqref="J13"/>
    </sheetView>
  </sheetViews>
  <sheetFormatPr defaultRowHeight="18" x14ac:dyDescent="0.45"/>
  <cols>
    <col min="1" max="1" width="5.19921875" bestFit="1" customWidth="1"/>
    <col min="2" max="2" width="14.19921875" style="1" bestFit="1" customWidth="1"/>
    <col min="3" max="3" width="26.59765625" style="1" bestFit="1" customWidth="1"/>
    <col min="4" max="4" width="30.5" style="1" bestFit="1" customWidth="1"/>
    <col min="5" max="5" width="31.19921875" style="1" bestFit="1" customWidth="1"/>
    <col min="6" max="6" width="28.3984375" style="1" customWidth="1"/>
    <col min="7" max="8" width="12.69921875" bestFit="1" customWidth="1"/>
    <col min="10" max="10" width="12.69921875" bestFit="1" customWidth="1"/>
  </cols>
  <sheetData>
    <row r="1" spans="1:10" x14ac:dyDescent="0.45">
      <c r="B1" t="s">
        <v>0</v>
      </c>
    </row>
    <row r="2" spans="1:1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13</v>
      </c>
      <c r="J2" t="s">
        <v>13</v>
      </c>
    </row>
    <row r="3" spans="1:10" x14ac:dyDescent="0.45">
      <c r="A3">
        <v>100</v>
      </c>
      <c r="B3">
        <v>0.5714285714285714</v>
      </c>
      <c r="C3">
        <v>0.58250825082508251</v>
      </c>
      <c r="D3">
        <v>0.53805774278215224</v>
      </c>
      <c r="E3">
        <v>0.57440890125173849</v>
      </c>
      <c r="F3" s="9">
        <v>0.54143646408839774</v>
      </c>
      <c r="G3">
        <v>0.57827569895877295</v>
      </c>
      <c r="J3">
        <v>0.57829670329670335</v>
      </c>
    </row>
    <row r="4" spans="1:10" x14ac:dyDescent="0.45">
      <c r="A4">
        <v>200</v>
      </c>
      <c r="B4">
        <v>0.66666666666666663</v>
      </c>
      <c r="C4">
        <v>0.58250825082508251</v>
      </c>
      <c r="D4">
        <v>0.53805774278215224</v>
      </c>
      <c r="E4">
        <v>0.57440890125173849</v>
      </c>
      <c r="F4">
        <v>0.53806451612903228</v>
      </c>
      <c r="G4">
        <v>0.57827569895877295</v>
      </c>
      <c r="J4">
        <v>0.56258411843876177</v>
      </c>
    </row>
    <row r="5" spans="1:10" x14ac:dyDescent="0.45">
      <c r="A5">
        <v>300</v>
      </c>
      <c r="B5">
        <v>0.66666666666666663</v>
      </c>
      <c r="C5">
        <v>0.58250825082508251</v>
      </c>
      <c r="D5">
        <v>0.53805774278215224</v>
      </c>
      <c r="E5">
        <v>0.57440890125173849</v>
      </c>
      <c r="F5">
        <v>0.53546099290780147</v>
      </c>
      <c r="G5">
        <v>0.57827569895877295</v>
      </c>
      <c r="J5">
        <v>0.57662337662337659</v>
      </c>
    </row>
    <row r="6" spans="1:10" ht="18.600000000000001" thickBot="1" x14ac:dyDescent="0.5">
      <c r="A6">
        <v>400</v>
      </c>
      <c r="B6">
        <v>0.66666666666666663</v>
      </c>
      <c r="C6">
        <v>0.58250825082508251</v>
      </c>
      <c r="D6">
        <v>0.53805774278215224</v>
      </c>
      <c r="E6">
        <v>0.57440890125173849</v>
      </c>
      <c r="F6">
        <v>0.55834564254062036</v>
      </c>
      <c r="G6">
        <v>0.57827569895877295</v>
      </c>
      <c r="J6">
        <v>0.57354925775978405</v>
      </c>
    </row>
    <row r="7" spans="1:10" ht="18.600000000000001" thickBot="1" x14ac:dyDescent="0.5">
      <c r="B7"/>
      <c r="C7"/>
      <c r="D7"/>
      <c r="F7" s="7">
        <f>AVERAGE(F3:F6)</f>
        <v>0.54332690391646299</v>
      </c>
      <c r="G7" s="7">
        <f>AVERAGE(J3:J12)</f>
        <v>0.57827569895877295</v>
      </c>
      <c r="J7">
        <v>0.57438551099611901</v>
      </c>
    </row>
    <row r="8" spans="1:10" x14ac:dyDescent="0.45">
      <c r="B8" t="s">
        <v>8</v>
      </c>
      <c r="G8" s="2"/>
      <c r="J8">
        <v>0.58752166377816295</v>
      </c>
    </row>
    <row r="9" spans="1:10" x14ac:dyDescent="0.45">
      <c r="A9">
        <v>100</v>
      </c>
      <c r="B9">
        <f>(B3*B15)/(2*B3-B15)</f>
        <v>5.6236192006427011E-3</v>
      </c>
      <c r="C9">
        <v>0.59030100334448166</v>
      </c>
      <c r="D9">
        <v>0.68561872909698995</v>
      </c>
      <c r="E9">
        <v>0.69063545150501671</v>
      </c>
      <c r="F9" s="9">
        <v>0.8193979933110368</v>
      </c>
      <c r="G9">
        <f>$J25</f>
        <v>0.67959866220735765</v>
      </c>
      <c r="J9">
        <v>0.5794117647058824</v>
      </c>
    </row>
    <row r="10" spans="1:10" x14ac:dyDescent="0.45">
      <c r="A10">
        <v>200</v>
      </c>
      <c r="B10">
        <f>(B4*B16)/(2*B4-B16)</f>
        <v>1.1254019292604505E-2</v>
      </c>
      <c r="C10">
        <v>0.59030100334448166</v>
      </c>
      <c r="D10">
        <v>0.68561872909698995</v>
      </c>
      <c r="E10">
        <v>0.69063545150501671</v>
      </c>
      <c r="F10">
        <v>0.69732441471571904</v>
      </c>
      <c r="G10">
        <v>0.67959866220735765</v>
      </c>
      <c r="J10">
        <v>0.58666666666666667</v>
      </c>
    </row>
    <row r="11" spans="1:10" x14ac:dyDescent="0.45">
      <c r="A11">
        <v>300</v>
      </c>
      <c r="B11">
        <f>(B5*B17)/(2*B5-B17)</f>
        <v>1.1254019292604505E-2</v>
      </c>
      <c r="C11">
        <v>0.59030100334448166</v>
      </c>
      <c r="D11">
        <v>0.68561872909698995</v>
      </c>
      <c r="E11">
        <v>0.69063545150501671</v>
      </c>
      <c r="F11">
        <v>0.75752508361204018</v>
      </c>
      <c r="G11">
        <v>0.67959866220735765</v>
      </c>
      <c r="J11">
        <v>0.5716353111432706</v>
      </c>
    </row>
    <row r="12" spans="1:10" ht="18.600000000000001" thickBot="1" x14ac:dyDescent="0.5">
      <c r="A12">
        <v>400</v>
      </c>
      <c r="B12">
        <f>(B6*B18)/(2*B6-B18)</f>
        <v>1.1254019292604505E-2</v>
      </c>
      <c r="C12">
        <v>0.59030100334448166</v>
      </c>
      <c r="D12">
        <v>0.68561872909698995</v>
      </c>
      <c r="E12">
        <v>0.69063545150501671</v>
      </c>
      <c r="F12">
        <v>0.63210702341137126</v>
      </c>
      <c r="G12">
        <v>0.67959866220735765</v>
      </c>
      <c r="J12">
        <v>0.59208261617900171</v>
      </c>
    </row>
    <row r="13" spans="1:10" ht="18.600000000000001" thickBot="1" x14ac:dyDescent="0.5">
      <c r="E13"/>
      <c r="F13" s="7">
        <f>AVERAGE(F9:F12)</f>
        <v>0.72658862876254182</v>
      </c>
      <c r="G13">
        <v>0.67959866220735798</v>
      </c>
      <c r="J13" s="7">
        <f>AVERAGE(J3:J12)</f>
        <v>0.57827569895877295</v>
      </c>
    </row>
    <row r="14" spans="1:10" x14ac:dyDescent="0.45">
      <c r="B14" t="s">
        <v>9</v>
      </c>
      <c r="J14" s="1"/>
    </row>
    <row r="15" spans="1:10" x14ac:dyDescent="0.45">
      <c r="A15">
        <v>100</v>
      </c>
      <c r="B15">
        <v>1.1137629276054099E-2</v>
      </c>
      <c r="C15">
        <v>0.58637873754152836</v>
      </c>
      <c r="D15">
        <v>0.6029411764705882</v>
      </c>
      <c r="E15">
        <v>0.6271829916476841</v>
      </c>
      <c r="F15" s="9">
        <v>0.65202927478376582</v>
      </c>
      <c r="G15">
        <v>0.62328873900174231</v>
      </c>
      <c r="J15">
        <v>0.70401337792642138</v>
      </c>
    </row>
    <row r="16" spans="1:10" x14ac:dyDescent="0.45">
      <c r="A16">
        <v>200</v>
      </c>
      <c r="B16">
        <v>2.213438735177866E-2</v>
      </c>
      <c r="C16">
        <v>0.58637873754152836</v>
      </c>
      <c r="D16">
        <v>0.6029411764705882</v>
      </c>
      <c r="E16">
        <v>0.6271829916476841</v>
      </c>
      <c r="F16">
        <v>0.60742898761835395</v>
      </c>
      <c r="G16">
        <v>0.62328873900174231</v>
      </c>
      <c r="J16">
        <v>0.69899665551839463</v>
      </c>
    </row>
    <row r="17" spans="1:10" x14ac:dyDescent="0.45">
      <c r="A17">
        <v>300</v>
      </c>
      <c r="B17">
        <v>2.213438735177866E-2</v>
      </c>
      <c r="C17">
        <v>0.58637873754152836</v>
      </c>
      <c r="D17">
        <v>0.6029411764705882</v>
      </c>
      <c r="E17">
        <v>0.6271829916476841</v>
      </c>
      <c r="F17">
        <v>0.62742382271468145</v>
      </c>
      <c r="G17">
        <v>0.62328873900174231</v>
      </c>
      <c r="J17">
        <v>0.74247491638795982</v>
      </c>
    </row>
    <row r="18" spans="1:10" ht="18.600000000000001" thickBot="1" x14ac:dyDescent="0.5">
      <c r="A18">
        <v>400</v>
      </c>
      <c r="B18">
        <v>2.213438735177866E-2</v>
      </c>
      <c r="C18">
        <v>0.58637873754152836</v>
      </c>
      <c r="D18">
        <v>0.6029411764705882</v>
      </c>
      <c r="E18">
        <v>0.6271829916476841</v>
      </c>
      <c r="F18">
        <v>0.59294117647058819</v>
      </c>
      <c r="G18">
        <v>0.62328873900174231</v>
      </c>
      <c r="J18">
        <v>0.71070234113712372</v>
      </c>
    </row>
    <row r="19" spans="1:10" ht="18.600000000000001" thickBot="1" x14ac:dyDescent="0.5">
      <c r="E19"/>
      <c r="F19" s="7">
        <f>AVERAGE(F15:F18)</f>
        <v>0.6199558153968473</v>
      </c>
      <c r="G19">
        <v>0.62328873900174231</v>
      </c>
      <c r="J19">
        <v>0.74247491638795982</v>
      </c>
    </row>
    <row r="20" spans="1:10" x14ac:dyDescent="0.45">
      <c r="B20" s="1" t="s">
        <v>11</v>
      </c>
      <c r="E20"/>
      <c r="J20">
        <v>0.56688963210702337</v>
      </c>
    </row>
    <row r="21" spans="1:10" x14ac:dyDescent="0.45">
      <c r="B21" s="1" t="s">
        <v>12</v>
      </c>
      <c r="J21">
        <v>0.65886287625418061</v>
      </c>
    </row>
    <row r="22" spans="1:10" x14ac:dyDescent="0.45">
      <c r="J22">
        <v>0.73578595317725748</v>
      </c>
    </row>
    <row r="23" spans="1:10" x14ac:dyDescent="0.45">
      <c r="C23"/>
      <c r="D23"/>
      <c r="J23">
        <v>0.66053511705685619</v>
      </c>
    </row>
    <row r="24" spans="1:10" ht="18.600000000000001" thickBot="1" x14ac:dyDescent="0.5">
      <c r="C24"/>
      <c r="D24"/>
      <c r="J24">
        <v>0.57525083612040129</v>
      </c>
    </row>
    <row r="25" spans="1:10" ht="18.600000000000001" thickBot="1" x14ac:dyDescent="0.5">
      <c r="G25" s="2"/>
      <c r="J25" s="7">
        <f>AVERAGE(J15:J24)</f>
        <v>0.67959866220735765</v>
      </c>
    </row>
    <row r="26" spans="1:10" x14ac:dyDescent="0.45">
      <c r="B26"/>
      <c r="C26"/>
      <c r="D26"/>
      <c r="J26" s="1"/>
    </row>
    <row r="27" spans="1:10" x14ac:dyDescent="0.45">
      <c r="B27" t="s">
        <v>10</v>
      </c>
      <c r="C27"/>
      <c r="D27"/>
      <c r="J27">
        <v>0.63499245852187003</v>
      </c>
    </row>
    <row r="28" spans="1:10" x14ac:dyDescent="0.45">
      <c r="B28" t="s">
        <v>0</v>
      </c>
      <c r="C28" t="s">
        <v>8</v>
      </c>
      <c r="D28" t="s">
        <v>9</v>
      </c>
      <c r="J28">
        <v>0.62341536167039524</v>
      </c>
    </row>
    <row r="29" spans="1:10" x14ac:dyDescent="0.45">
      <c r="B29" s="3">
        <v>0.7142857142857143</v>
      </c>
      <c r="C29">
        <f t="shared" ref="C29:C47" si="0">(B29*D29)/(2*B29-D29)</f>
        <v>2.4834437086092717E-2</v>
      </c>
      <c r="D29" s="3">
        <v>4.8000000000000001E-2</v>
      </c>
      <c r="J29">
        <v>0.64912280701754388</v>
      </c>
    </row>
    <row r="30" spans="1:10" x14ac:dyDescent="0.45">
      <c r="B30" s="3">
        <v>0.75</v>
      </c>
      <c r="C30">
        <f t="shared" si="0"/>
        <v>1.9867549668874173E-2</v>
      </c>
      <c r="D30" s="3">
        <v>3.870967741935484E-2</v>
      </c>
      <c r="J30">
        <v>0.63480209111277075</v>
      </c>
    </row>
    <row r="31" spans="1:10" ht="17.399999999999999" customHeight="1" x14ac:dyDescent="0.45">
      <c r="B31">
        <v>0.72727272727272729</v>
      </c>
      <c r="C31">
        <f t="shared" si="0"/>
        <v>1.3245033112582785E-2</v>
      </c>
      <c r="D31" s="3">
        <v>2.6016260162601629E-2</v>
      </c>
      <c r="J31">
        <v>0.64770240700218817</v>
      </c>
    </row>
    <row r="32" spans="1:10" x14ac:dyDescent="0.45">
      <c r="B32">
        <v>0.72727272727272729</v>
      </c>
      <c r="C32">
        <f t="shared" si="0"/>
        <v>1.3245033112582785E-2</v>
      </c>
      <c r="D32" s="3">
        <v>2.6016260162601629E-2</v>
      </c>
      <c r="J32">
        <v>0.57702127659574465</v>
      </c>
    </row>
    <row r="33" spans="1:10" x14ac:dyDescent="0.45">
      <c r="B33" s="3">
        <v>0.72727272727272729</v>
      </c>
      <c r="C33">
        <f t="shared" si="0"/>
        <v>1.3245033112582785E-2</v>
      </c>
      <c r="D33" s="3">
        <v>2.6016260162601629E-2</v>
      </c>
      <c r="J33">
        <v>0.61658841940532083</v>
      </c>
    </row>
    <row r="34" spans="1:10" x14ac:dyDescent="0.45">
      <c r="B34" s="3">
        <v>0.72727272727272729</v>
      </c>
      <c r="C34">
        <f t="shared" si="0"/>
        <v>1.3245033112582785E-2</v>
      </c>
      <c r="D34" s="3">
        <v>2.6016260162601629E-2</v>
      </c>
      <c r="J34">
        <v>0.65281899109792285</v>
      </c>
    </row>
    <row r="35" spans="1:10" x14ac:dyDescent="0.45">
      <c r="B35" s="3">
        <v>0.72727272727272729</v>
      </c>
      <c r="C35">
        <f t="shared" si="0"/>
        <v>1.3245033112582785E-2</v>
      </c>
      <c r="D35" s="3">
        <v>2.6016260162601629E-2</v>
      </c>
      <c r="J35">
        <v>0.61287820015515904</v>
      </c>
    </row>
    <row r="36" spans="1:10" ht="18.600000000000001" thickBot="1" x14ac:dyDescent="0.5">
      <c r="B36" s="3">
        <v>0.72727272727272729</v>
      </c>
      <c r="C36">
        <f t="shared" si="0"/>
        <v>1.3245033112582785E-2</v>
      </c>
      <c r="D36" s="3">
        <v>2.6016260162601629E-2</v>
      </c>
      <c r="J36">
        <v>0.58354537743850721</v>
      </c>
    </row>
    <row r="37" spans="1:10" ht="18.600000000000001" thickBot="1" x14ac:dyDescent="0.5">
      <c r="B37" s="3">
        <v>0.72727272727272729</v>
      </c>
      <c r="C37">
        <f t="shared" si="0"/>
        <v>1.3245033112582785E-2</v>
      </c>
      <c r="D37" s="8">
        <v>2.6016260162601629E-2</v>
      </c>
      <c r="J37" s="7">
        <f>AVERAGE(J27:J36)</f>
        <v>0.62328873900174231</v>
      </c>
    </row>
    <row r="38" spans="1:10" x14ac:dyDescent="0.45">
      <c r="B38" s="3">
        <v>0.72727272727272729</v>
      </c>
      <c r="C38">
        <f t="shared" si="0"/>
        <v>1.3245033112582785E-2</v>
      </c>
      <c r="D38" s="3">
        <v>2.6016260162601629E-2</v>
      </c>
    </row>
    <row r="39" spans="1:10" x14ac:dyDescent="0.45">
      <c r="B39" s="3">
        <v>0.72727272727272729</v>
      </c>
      <c r="C39">
        <f t="shared" si="0"/>
        <v>1.3245033112582785E-2</v>
      </c>
      <c r="D39" s="3">
        <v>2.6016260162601629E-2</v>
      </c>
    </row>
    <row r="40" spans="1:10" x14ac:dyDescent="0.45">
      <c r="B40" s="3">
        <v>0.72727272727272729</v>
      </c>
      <c r="C40">
        <f t="shared" si="0"/>
        <v>1.3245033112582785E-2</v>
      </c>
      <c r="D40" s="3">
        <v>2.6016260162601629E-2</v>
      </c>
    </row>
    <row r="41" spans="1:10" x14ac:dyDescent="0.45">
      <c r="B41" s="3">
        <v>0.72727272727272729</v>
      </c>
      <c r="C41">
        <f t="shared" si="0"/>
        <v>1.3245033112582785E-2</v>
      </c>
      <c r="D41" s="3">
        <v>2.6016260162601629E-2</v>
      </c>
    </row>
    <row r="42" spans="1:10" x14ac:dyDescent="0.45">
      <c r="B42" s="3">
        <v>0.72727272727272729</v>
      </c>
      <c r="C42">
        <f t="shared" si="0"/>
        <v>1.3245033112582785E-2</v>
      </c>
      <c r="D42" s="3">
        <v>2.6016260162601629E-2</v>
      </c>
    </row>
    <row r="43" spans="1:10" x14ac:dyDescent="0.45">
      <c r="B43" s="3">
        <v>0.72727272727272729</v>
      </c>
      <c r="C43">
        <f t="shared" si="0"/>
        <v>1.3245033112582785E-2</v>
      </c>
      <c r="D43" s="3">
        <v>2.6016260162601629E-2</v>
      </c>
    </row>
    <row r="44" spans="1:10" x14ac:dyDescent="0.45">
      <c r="B44" s="3">
        <v>0.72727272727272729</v>
      </c>
      <c r="C44">
        <f t="shared" si="0"/>
        <v>1.3245033112582785E-2</v>
      </c>
      <c r="D44" s="4">
        <v>2.6016260162601629E-2</v>
      </c>
    </row>
    <row r="45" spans="1:10" x14ac:dyDescent="0.45">
      <c r="B45" s="3">
        <v>0.72727272727272729</v>
      </c>
      <c r="C45">
        <f t="shared" si="0"/>
        <v>1.3245033112582785E-2</v>
      </c>
      <c r="D45" s="3">
        <v>2.6016260162601629E-2</v>
      </c>
    </row>
    <row r="46" spans="1:10" x14ac:dyDescent="0.45">
      <c r="B46" s="4">
        <v>0.72727272727272729</v>
      </c>
      <c r="C46">
        <f t="shared" si="0"/>
        <v>1.3245033112582785E-2</v>
      </c>
      <c r="D46">
        <v>2.6016260162601629E-2</v>
      </c>
    </row>
    <row r="47" spans="1:10" ht="18.600000000000001" customHeight="1" thickBot="1" x14ac:dyDescent="0.5">
      <c r="B47" s="3">
        <v>0.72727272727272729</v>
      </c>
      <c r="C47">
        <f t="shared" si="0"/>
        <v>1.3245033112582785E-2</v>
      </c>
      <c r="D47">
        <v>2.6016260162601629E-2</v>
      </c>
    </row>
    <row r="48" spans="1:10" ht="18.600000000000001" customHeight="1" thickBot="1" x14ac:dyDescent="0.5">
      <c r="A48" s="5" t="s">
        <v>7</v>
      </c>
      <c r="B48" s="6">
        <f>AVERAGE(B29:B47)</f>
        <v>0.72778537252221442</v>
      </c>
      <c r="C48" s="6">
        <f>AVERAGE(C29:C47)</f>
        <v>1.4203555245730226E-2</v>
      </c>
      <c r="D48" s="6">
        <f>AVERAGE(D29:D47)</f>
        <v>2.7841373693872757E-2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大藪　一馬</dc:creator>
  <cp:lastModifiedBy>大藪　一馬</cp:lastModifiedBy>
  <dcterms:created xsi:type="dcterms:W3CDTF">2024-12-29T16:27:51Z</dcterms:created>
  <dcterms:modified xsi:type="dcterms:W3CDTF">2025-05-22T05:10:42Z</dcterms:modified>
</cp:coreProperties>
</file>