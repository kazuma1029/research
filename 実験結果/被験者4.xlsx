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nitechict-my.sharepoint.com/personal/cmt14021_ict_nitech_ac_jp/Documents/研究/system/実験結果/"/>
    </mc:Choice>
  </mc:AlternateContent>
  <xr:revisionPtr revIDLastSave="46" documentId="11_0259D61EF301358F06B9DDFCFF85D136C2FD31A1" xr6:coauthVersionLast="47" xr6:coauthVersionMax="47" xr10:uidLastSave="{DE026356-854B-4267-ACA0-45DB342C9505}"/>
  <bookViews>
    <workbookView xWindow="-96" yWindow="0" windowWidth="11712" windowHeight="13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9" i="1" l="1"/>
  <c r="B49" i="1"/>
  <c r="C48" i="1"/>
  <c r="C47" i="1"/>
  <c r="C46" i="1"/>
  <c r="C45" i="1"/>
  <c r="C44" i="1"/>
  <c r="C43" i="1"/>
  <c r="C42" i="1"/>
  <c r="C41" i="1"/>
  <c r="C40" i="1"/>
  <c r="C39" i="1"/>
  <c r="C38" i="1"/>
  <c r="E37" i="1"/>
  <c r="C37" i="1"/>
  <c r="C36" i="1"/>
  <c r="C35" i="1"/>
  <c r="C34" i="1"/>
  <c r="C33" i="1"/>
  <c r="C32" i="1"/>
  <c r="C31" i="1"/>
  <c r="C30" i="1"/>
  <c r="C29" i="1"/>
  <c r="C49" i="1" s="1"/>
  <c r="F25" i="1"/>
  <c r="E25" i="1"/>
  <c r="F17" i="1"/>
  <c r="E13" i="1"/>
  <c r="F9" i="1"/>
</calcChain>
</file>

<file path=xl/sharedStrings.xml><?xml version="1.0" encoding="utf-8"?>
<sst xmlns="http://schemas.openxmlformats.org/spreadsheetml/2006/main" count="17" uniqueCount="11">
  <si>
    <t>適合率</t>
  </si>
  <si>
    <t>fastText+BERT(全レビュー)</t>
  </si>
  <si>
    <t>fastText+BERT(全レビュー+us)</t>
  </si>
  <si>
    <t>fastText+BERT(全レビュー+rus)</t>
  </si>
  <si>
    <t>fastText+BERT(抽出レビュー)</t>
  </si>
  <si>
    <t>平均</t>
  </si>
  <si>
    <t>再現率</t>
  </si>
  <si>
    <t>F値</t>
  </si>
  <si>
    <t>先行研究</t>
  </si>
  <si>
    <t>正例572</t>
    <rPh sb="0" eb="2">
      <t>セイレイ</t>
    </rPh>
    <phoneticPr fontId="1"/>
  </si>
  <si>
    <t>負例385</t>
    <rPh sb="0" eb="2">
      <t>フレイ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</si>
</sst>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85" formatCode="0.000"/>
  </numFmts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0" xfId="0" applyAlignment="1">
      <alignment horizontal="right"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 applyAlignment="1"/>
    <xf numFmtId="0" fontId="0" fillId="0" borderId="6" xfId="0" applyBorder="1" applyAlignment="1"/>
    <xf numFmtId="0" fontId="0" fillId="2" borderId="0" xfId="0" applyFill="1">
      <alignment vertical="center"/>
    </xf>
    <xf numFmtId="176" fontId="0" fillId="0" borderId="0" xfId="1" applyNumberFormat="1" applyFont="1">
      <alignment vertical="center"/>
    </xf>
    <xf numFmtId="176" fontId="0" fillId="2" borderId="0" xfId="1" applyNumberFormat="1" applyFont="1" applyFill="1">
      <alignment vertical="center"/>
    </xf>
    <xf numFmtId="185" fontId="0" fillId="2" borderId="0" xfId="0" applyNumberFormat="1" applyFill="1">
      <alignment vertical="center"/>
    </xf>
    <xf numFmtId="185" fontId="0" fillId="0" borderId="0" xfId="0" applyNumberFormat="1">
      <alignment vertical="center"/>
    </xf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1800"/>
              <a:t>被験者</a:t>
            </a:r>
            <a:r>
              <a:rPr lang="en-US" altLang="ja-JP" sz="1800"/>
              <a:t>4</a:t>
            </a:r>
            <a:r>
              <a:rPr lang="ja-JP" altLang="en-US" sz="1800"/>
              <a:t>の再現率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提案手法1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Sheet1!$B$11:$B$15</c:f>
              <c:numCache>
                <c:formatCode>General</c:formatCode>
                <c:ptCount val="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</c:numCache>
            </c:numRef>
          </c:cat>
          <c:val>
            <c:numRef>
              <c:f>Sheet1!$F$11:$F$15</c:f>
              <c:numCache>
                <c:formatCode>General</c:formatCode>
                <c:ptCount val="5"/>
                <c:pt idx="0">
                  <c:v>0.61387434554973819</c:v>
                </c:pt>
                <c:pt idx="1">
                  <c:v>0.41230366492146597</c:v>
                </c:pt>
                <c:pt idx="2">
                  <c:v>0.39659685863874339</c:v>
                </c:pt>
                <c:pt idx="3">
                  <c:v>0.60078534031413611</c:v>
                </c:pt>
                <c:pt idx="4" formatCode="0.0%">
                  <c:v>0.70549738219895286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6F-4226-BBAA-0B38665EEAB9}"/>
            </c:ext>
          </c:extLst>
        </c:ser>
        <c:ser>
          <c:idx val="1"/>
          <c:order val="1"/>
          <c:tx>
            <c:v>提案手法2</c:v>
          </c:tx>
          <c:marker>
            <c:symbol val="none"/>
          </c:marker>
          <c:val>
            <c:numRef>
              <c:f>Sheet1!$D$11:$D$15</c:f>
              <c:numCache>
                <c:formatCode>General</c:formatCode>
                <c:ptCount val="5"/>
                <c:pt idx="0">
                  <c:v>0.90575916230366493</c:v>
                </c:pt>
                <c:pt idx="1">
                  <c:v>0.90575916230366493</c:v>
                </c:pt>
                <c:pt idx="2">
                  <c:v>0.90575916230366493</c:v>
                </c:pt>
                <c:pt idx="3">
                  <c:v>0.90575916230366493</c:v>
                </c:pt>
                <c:pt idx="4">
                  <c:v>0.90575916230366493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58-4B8D-A0C1-EACE34461C4C}"/>
            </c:ext>
          </c:extLst>
        </c:ser>
        <c:ser>
          <c:idx val="2"/>
          <c:order val="2"/>
          <c:tx>
            <c:v>比較手法1</c:v>
          </c:tx>
          <c:marker>
            <c:symbol val="none"/>
          </c:marker>
          <c:val>
            <c:numRef>
              <c:f>Sheet1!$C$11:$C$15</c:f>
              <c:numCache>
                <c:formatCode>General</c:formatCode>
                <c:ptCount val="5"/>
                <c:pt idx="0">
                  <c:v>0.98298429319371727</c:v>
                </c:pt>
                <c:pt idx="1">
                  <c:v>0.98298429319371727</c:v>
                </c:pt>
                <c:pt idx="2">
                  <c:v>0.98298429319371727</c:v>
                </c:pt>
                <c:pt idx="3">
                  <c:v>0.98298429319371727</c:v>
                </c:pt>
                <c:pt idx="4">
                  <c:v>0.98298429319371727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58-4B8D-A0C1-EACE34461C4C}"/>
            </c:ext>
          </c:extLst>
        </c:ser>
        <c:ser>
          <c:idx val="3"/>
          <c:order val="3"/>
          <c:tx>
            <c:v>比較手法2</c:v>
          </c:tx>
          <c:marker>
            <c:symbol val="none"/>
          </c:marker>
          <c:val>
            <c:numRef>
              <c:f>Sheet1!$F$37:$F$41</c:f>
              <c:numCache>
                <c:formatCode>General</c:formatCode>
                <c:ptCount val="5"/>
                <c:pt idx="0">
                  <c:v>0.93062827225130895</c:v>
                </c:pt>
                <c:pt idx="1">
                  <c:v>0.93062827225130895</c:v>
                </c:pt>
                <c:pt idx="2">
                  <c:v>0.93062827225130895</c:v>
                </c:pt>
                <c:pt idx="3">
                  <c:v>0.93062827225130895</c:v>
                </c:pt>
                <c:pt idx="4">
                  <c:v>0.93062827225130895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458-4B8D-A0C1-EACE34461C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3488959"/>
        <c:axId val="1283484639"/>
      </c:lineChart>
      <c:catAx>
        <c:axId val="12834889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レビュー数</a:t>
                </a:r>
                <a:r>
                  <a:rPr lang="en-US" altLang="ja-JP"/>
                  <a:t>N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83484639"/>
        <c:crosses val="autoZero"/>
        <c:auto val="1"/>
        <c:lblAlgn val="ctr"/>
        <c:lblOffset val="100"/>
        <c:noMultiLvlLbl val="0"/>
      </c:catAx>
      <c:valAx>
        <c:axId val="1283484639"/>
        <c:scaling>
          <c:orientation val="minMax"/>
          <c:min val="0.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再現率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83488959"/>
        <c:crosses val="autoZero"/>
        <c:crossBetween val="between"/>
        <c:majorUnit val="0.2"/>
      </c:valAx>
    </c:plotArea>
    <c:legend>
      <c:legendPos val="r"/>
      <c:overlay val="0"/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1800"/>
              <a:t>被験者</a:t>
            </a:r>
            <a:r>
              <a:rPr lang="en-US" altLang="ja-JP" sz="1800"/>
              <a:t>4</a:t>
            </a:r>
            <a:r>
              <a:rPr lang="ja-JP" altLang="en-US" sz="1800"/>
              <a:t>の適合率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提案手法1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Sheet1!$B$11:$B$15</c:f>
              <c:numCache>
                <c:formatCode>General</c:formatCode>
                <c:ptCount val="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</c:numCache>
            </c:numRef>
          </c:cat>
          <c:val>
            <c:numRef>
              <c:f>Sheet1!$F$3:$F$7</c:f>
              <c:numCache>
                <c:formatCode>General</c:formatCode>
                <c:ptCount val="5"/>
                <c:pt idx="0">
                  <c:v>0.37016574585635359</c:v>
                </c:pt>
                <c:pt idx="1">
                  <c:v>0.36041189931350109</c:v>
                </c:pt>
                <c:pt idx="2">
                  <c:v>0.3806532663316583</c:v>
                </c:pt>
                <c:pt idx="3">
                  <c:v>0.43017806935332709</c:v>
                </c:pt>
                <c:pt idx="4" formatCode="0.0%">
                  <c:v>0.41239479724560058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C1-4449-9C6E-6723BE8639C2}"/>
            </c:ext>
          </c:extLst>
        </c:ser>
        <c:ser>
          <c:idx val="1"/>
          <c:order val="1"/>
          <c:tx>
            <c:v>提案手法2</c:v>
          </c:tx>
          <c:marker>
            <c:symbol val="none"/>
          </c:marker>
          <c:val>
            <c:numRef>
              <c:f>Sheet1!$D$3:$D$7</c:f>
              <c:numCache>
                <c:formatCode>General</c:formatCode>
                <c:ptCount val="5"/>
                <c:pt idx="0">
                  <c:v>0.40729841082989993</c:v>
                </c:pt>
                <c:pt idx="1">
                  <c:v>0.40729841082989993</c:v>
                </c:pt>
                <c:pt idx="2">
                  <c:v>0.40729841082989993</c:v>
                </c:pt>
                <c:pt idx="3">
                  <c:v>0.40729841082989993</c:v>
                </c:pt>
                <c:pt idx="4">
                  <c:v>0.40729841082989993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C1-4449-9C6E-6723BE8639C2}"/>
            </c:ext>
          </c:extLst>
        </c:ser>
        <c:ser>
          <c:idx val="2"/>
          <c:order val="2"/>
          <c:tx>
            <c:v>比較手法1</c:v>
          </c:tx>
          <c:marker>
            <c:symbol val="none"/>
          </c:marker>
          <c:val>
            <c:numRef>
              <c:f>Sheet1!$C$3:$C$7</c:f>
              <c:numCache>
                <c:formatCode>General</c:formatCode>
                <c:ptCount val="5"/>
                <c:pt idx="0">
                  <c:v>0.40507011866235171</c:v>
                </c:pt>
                <c:pt idx="1">
                  <c:v>0.40507011866235171</c:v>
                </c:pt>
                <c:pt idx="2">
                  <c:v>0.40507011866235171</c:v>
                </c:pt>
                <c:pt idx="3">
                  <c:v>0.40507011866235171</c:v>
                </c:pt>
                <c:pt idx="4">
                  <c:v>0.40507011866235171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C1-4449-9C6E-6723BE8639C2}"/>
            </c:ext>
          </c:extLst>
        </c:ser>
        <c:ser>
          <c:idx val="3"/>
          <c:order val="3"/>
          <c:tx>
            <c:v>比較手法2</c:v>
          </c:tx>
          <c:marker>
            <c:symbol val="none"/>
          </c:marker>
          <c:val>
            <c:numRef>
              <c:f>Sheet1!$F$30:$F$34</c:f>
              <c:numCache>
                <c:formatCode>General</c:formatCode>
                <c:ptCount val="5"/>
                <c:pt idx="0">
                  <c:v>0.40443686006825941</c:v>
                </c:pt>
                <c:pt idx="1">
                  <c:v>0.40443686006825941</c:v>
                </c:pt>
                <c:pt idx="2">
                  <c:v>0.40443686006825941</c:v>
                </c:pt>
                <c:pt idx="3">
                  <c:v>0.40443686006825941</c:v>
                </c:pt>
                <c:pt idx="4">
                  <c:v>0.40443686006825941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5C1-4449-9C6E-6723BE8639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3488959"/>
        <c:axId val="1283484639"/>
      </c:lineChart>
      <c:catAx>
        <c:axId val="12834889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レビュー数</a:t>
                </a:r>
                <a:r>
                  <a:rPr lang="en-US" altLang="ja-JP"/>
                  <a:t>N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83484639"/>
        <c:crosses val="autoZero"/>
        <c:auto val="1"/>
        <c:lblAlgn val="ctr"/>
        <c:lblOffset val="100"/>
        <c:noMultiLvlLbl val="0"/>
      </c:catAx>
      <c:valAx>
        <c:axId val="1283484639"/>
        <c:scaling>
          <c:orientation val="minMax"/>
          <c:max val="0.45"/>
          <c:min val="0.3500000000000000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適合率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83488959"/>
        <c:crosses val="autoZero"/>
        <c:crossBetween val="between"/>
        <c:majorUnit val="1.0000000000000002E-2"/>
      </c:valAx>
    </c:plotArea>
    <c:legend>
      <c:legendPos val="r"/>
      <c:overlay val="0"/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1800"/>
              <a:t>被験者</a:t>
            </a:r>
            <a:r>
              <a:rPr lang="en-US" altLang="ja-JP" sz="1800"/>
              <a:t>4</a:t>
            </a:r>
            <a:r>
              <a:rPr lang="ja-JP" altLang="en-US" sz="1800"/>
              <a:t>の</a:t>
            </a:r>
            <a:r>
              <a:rPr lang="en-US" altLang="ja-JP" sz="1800"/>
              <a:t>F</a:t>
            </a:r>
            <a:r>
              <a:rPr lang="ja-JP" altLang="en-US" sz="1800"/>
              <a:t>値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提案手法1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Sheet1!$B$11:$B$15</c:f>
              <c:numCache>
                <c:formatCode>General</c:formatCode>
                <c:ptCount val="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</c:numCache>
            </c:numRef>
          </c:cat>
          <c:val>
            <c:numRef>
              <c:f>Sheet1!$F$19:$F$23</c:f>
              <c:numCache>
                <c:formatCode>General</c:formatCode>
                <c:ptCount val="5"/>
                <c:pt idx="0">
                  <c:v>0.46184145741014282</c:v>
                </c:pt>
                <c:pt idx="1">
                  <c:v>0.38461538461538458</c:v>
                </c:pt>
                <c:pt idx="2">
                  <c:v>0.38846153846153852</c:v>
                </c:pt>
                <c:pt idx="3">
                  <c:v>0.50136537411250681</c:v>
                </c:pt>
                <c:pt idx="4" formatCode="0.000">
                  <c:v>0.52052148720424918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1B-48CA-AFEB-B18DE2845B09}"/>
            </c:ext>
          </c:extLst>
        </c:ser>
        <c:ser>
          <c:idx val="1"/>
          <c:order val="1"/>
          <c:tx>
            <c:v>提案手法2</c:v>
          </c:tx>
          <c:marker>
            <c:symbol val="none"/>
          </c:marker>
          <c:val>
            <c:numRef>
              <c:f>Sheet1!$D$19:$D$23</c:f>
              <c:numCache>
                <c:formatCode>General</c:formatCode>
                <c:ptCount val="5"/>
                <c:pt idx="0">
                  <c:v>0.56191636215996754</c:v>
                </c:pt>
                <c:pt idx="1">
                  <c:v>0.56191636215996754</c:v>
                </c:pt>
                <c:pt idx="2">
                  <c:v>0.56191636215996754</c:v>
                </c:pt>
                <c:pt idx="3">
                  <c:v>0.56191636215996754</c:v>
                </c:pt>
                <c:pt idx="4">
                  <c:v>0.56191636215996754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1B-48CA-AFEB-B18DE2845B09}"/>
            </c:ext>
          </c:extLst>
        </c:ser>
        <c:ser>
          <c:idx val="2"/>
          <c:order val="2"/>
          <c:tx>
            <c:v>比較手法1</c:v>
          </c:tx>
          <c:marker>
            <c:symbol val="none"/>
          </c:marker>
          <c:val>
            <c:numRef>
              <c:f>Sheet1!$C$19:$C$23</c:f>
              <c:numCache>
                <c:formatCode>General</c:formatCode>
                <c:ptCount val="5"/>
                <c:pt idx="0">
                  <c:v>0.57372039724980906</c:v>
                </c:pt>
                <c:pt idx="1">
                  <c:v>0.57372039724980906</c:v>
                </c:pt>
                <c:pt idx="2">
                  <c:v>0.57372039724980906</c:v>
                </c:pt>
                <c:pt idx="3">
                  <c:v>0.57372039724980906</c:v>
                </c:pt>
                <c:pt idx="4">
                  <c:v>0.57372039724980906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1B-48CA-AFEB-B18DE2845B09}"/>
            </c:ext>
          </c:extLst>
        </c:ser>
        <c:ser>
          <c:idx val="3"/>
          <c:order val="3"/>
          <c:tx>
            <c:v>比較手法2</c:v>
          </c:tx>
          <c:marker>
            <c:symbol val="none"/>
          </c:marker>
          <c:val>
            <c:numRef>
              <c:f>Sheet1!$F$44:$F$48</c:f>
              <c:numCache>
                <c:formatCode>General</c:formatCode>
                <c:ptCount val="5"/>
                <c:pt idx="0">
                  <c:v>0.56383822363203806</c:v>
                </c:pt>
                <c:pt idx="1">
                  <c:v>0.56383822363203806</c:v>
                </c:pt>
                <c:pt idx="2">
                  <c:v>0.56383822363203806</c:v>
                </c:pt>
                <c:pt idx="3">
                  <c:v>0.56383822363203806</c:v>
                </c:pt>
                <c:pt idx="4">
                  <c:v>0.56383822363203806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C1B-48CA-AFEB-B18DE2845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3488959"/>
        <c:axId val="1283484639"/>
      </c:lineChart>
      <c:catAx>
        <c:axId val="12834889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レビュー数</a:t>
                </a:r>
                <a:r>
                  <a:rPr lang="en-US" altLang="ja-JP"/>
                  <a:t>N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83484639"/>
        <c:crosses val="autoZero"/>
        <c:auto val="1"/>
        <c:lblAlgn val="ctr"/>
        <c:lblOffset val="100"/>
        <c:noMultiLvlLbl val="0"/>
      </c:catAx>
      <c:valAx>
        <c:axId val="1283484639"/>
        <c:scaling>
          <c:orientation val="minMax"/>
          <c:max val="0.60000000000000009"/>
          <c:min val="0.3500000000000000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F</a:t>
                </a:r>
                <a:r>
                  <a:rPr lang="ja-JP" altLang="en-US"/>
                  <a:t>値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83488959"/>
        <c:crosses val="autoZero"/>
        <c:crossBetween val="between"/>
        <c:majorUnit val="5.000000000000001E-2"/>
      </c:valAx>
    </c:plotArea>
    <c:legend>
      <c:legendPos val="r"/>
      <c:overlay val="0"/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8756879"/>
        <c:axId val="1008758319"/>
      </c:barChart>
      <c:catAx>
        <c:axId val="10087568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08758319"/>
        <c:crosses val="autoZero"/>
        <c:auto val="1"/>
        <c:lblAlgn val="ctr"/>
        <c:lblOffset val="100"/>
        <c:noMultiLvlLbl val="0"/>
      </c:catAx>
      <c:valAx>
        <c:axId val="100875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08756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480060</xdr:colOff>
      <xdr:row>16</xdr:row>
      <xdr:rowOff>45720</xdr:rowOff>
    </xdr:from>
    <xdr:to>
      <xdr:col>14</xdr:col>
      <xdr:colOff>358354</xdr:colOff>
      <xdr:row>28</xdr:row>
      <xdr:rowOff>18289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426720</xdr:colOff>
      <xdr:row>1</xdr:row>
      <xdr:rowOff>175260</xdr:rowOff>
    </xdr:from>
    <xdr:to>
      <xdr:col>14</xdr:col>
      <xdr:colOff>305014</xdr:colOff>
      <xdr:row>13</xdr:row>
      <xdr:rowOff>147829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59F04381-8DED-4918-A1C6-8AD1E2A3F9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487680</xdr:colOff>
      <xdr:row>30</xdr:row>
      <xdr:rowOff>106680</xdr:rowOff>
    </xdr:from>
    <xdr:to>
      <xdr:col>14</xdr:col>
      <xdr:colOff>365974</xdr:colOff>
      <xdr:row>42</xdr:row>
      <xdr:rowOff>86869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5D81B5FD-24E5-44A6-9C1A-3CE75DF4BD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339090</xdr:colOff>
      <xdr:row>5</xdr:row>
      <xdr:rowOff>167640</xdr:rowOff>
    </xdr:from>
    <xdr:to>
      <xdr:col>15</xdr:col>
      <xdr:colOff>217170</xdr:colOff>
      <xdr:row>17</xdr:row>
      <xdr:rowOff>167640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B7992FD7-0BA7-AA60-42A7-3268DF1034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tabSelected="1" topLeftCell="A7" workbookViewId="0">
      <selection activeCell="C24" sqref="C24"/>
    </sheetView>
  </sheetViews>
  <sheetFormatPr defaultRowHeight="18" x14ac:dyDescent="0.45"/>
  <cols>
    <col min="2" max="2" width="13.69921875" style="1" customWidth="1"/>
    <col min="3" max="3" width="27.19921875" style="1" bestFit="1" customWidth="1"/>
    <col min="4" max="4" width="26.59765625" style="1" customWidth="1"/>
    <col min="5" max="5" width="28.3984375" style="1" customWidth="1"/>
    <col min="6" max="6" width="27.8984375" style="1" customWidth="1"/>
  </cols>
  <sheetData>
    <row r="1" spans="2:7" x14ac:dyDescent="0.45">
      <c r="B1" t="s">
        <v>0</v>
      </c>
    </row>
    <row r="2" spans="2:7" x14ac:dyDescent="0.45">
      <c r="B2"/>
      <c r="C2" t="s">
        <v>1</v>
      </c>
      <c r="D2" t="s">
        <v>2</v>
      </c>
      <c r="E2" t="s">
        <v>3</v>
      </c>
      <c r="F2" t="s">
        <v>4</v>
      </c>
    </row>
    <row r="3" spans="2:7" x14ac:dyDescent="0.45">
      <c r="B3"/>
      <c r="C3">
        <v>0.40507011866235171</v>
      </c>
      <c r="D3">
        <v>0.40729841082989993</v>
      </c>
      <c r="E3">
        <v>0.40320855614973261</v>
      </c>
      <c r="F3">
        <v>0.37016574585635359</v>
      </c>
    </row>
    <row r="4" spans="2:7" x14ac:dyDescent="0.45">
      <c r="B4"/>
      <c r="C4">
        <v>0.40507011866235171</v>
      </c>
      <c r="D4">
        <v>0.40729841082989993</v>
      </c>
      <c r="E4">
        <v>0.42951750236518449</v>
      </c>
      <c r="F4">
        <v>0.36041189931350109</v>
      </c>
    </row>
    <row r="5" spans="2:7" x14ac:dyDescent="0.45">
      <c r="B5"/>
      <c r="C5">
        <v>0.40507011866235171</v>
      </c>
      <c r="D5">
        <v>0.40729841082989993</v>
      </c>
      <c r="E5">
        <v>0.40469688694702349</v>
      </c>
      <c r="F5">
        <v>0.3806532663316583</v>
      </c>
    </row>
    <row r="6" spans="2:7" x14ac:dyDescent="0.45">
      <c r="B6"/>
      <c r="C6">
        <v>0.40507011866235171</v>
      </c>
      <c r="D6">
        <v>0.40729841082989993</v>
      </c>
      <c r="E6">
        <v>0.39903588644884841</v>
      </c>
      <c r="F6" s="9">
        <v>0.43017806935332709</v>
      </c>
    </row>
    <row r="7" spans="2:7" x14ac:dyDescent="0.45">
      <c r="B7"/>
      <c r="C7">
        <v>0.40507011866235171</v>
      </c>
      <c r="D7">
        <v>0.40729841082989993</v>
      </c>
      <c r="E7">
        <v>0.40315560391730138</v>
      </c>
      <c r="F7" s="10">
        <v>0.41239479724560058</v>
      </c>
    </row>
    <row r="8" spans="2:7" x14ac:dyDescent="0.45">
      <c r="B8"/>
      <c r="C8" s="10">
        <v>0.40507011866235171</v>
      </c>
      <c r="D8">
        <v>0.40729841082989993</v>
      </c>
      <c r="E8">
        <v>0.39925173703901662</v>
      </c>
    </row>
    <row r="9" spans="2:7" x14ac:dyDescent="0.45">
      <c r="B9"/>
      <c r="E9">
        <v>0.402815376285869</v>
      </c>
      <c r="F9">
        <f>AVERAGE(F3:F7)</f>
        <v>0.39076075562008811</v>
      </c>
      <c r="G9" s="4" t="s">
        <v>5</v>
      </c>
    </row>
    <row r="10" spans="2:7" x14ac:dyDescent="0.45">
      <c r="B10" t="s">
        <v>6</v>
      </c>
      <c r="E10">
        <v>0.40021459227467809</v>
      </c>
    </row>
    <row r="11" spans="2:7" x14ac:dyDescent="0.45">
      <c r="B11">
        <v>100</v>
      </c>
      <c r="C11">
        <v>0.98298429319371727</v>
      </c>
      <c r="D11">
        <v>0.90575916230366493</v>
      </c>
      <c r="E11">
        <v>0.40182894029047878</v>
      </c>
      <c r="F11">
        <v>0.61387434554973819</v>
      </c>
    </row>
    <row r="12" spans="2:7" x14ac:dyDescent="0.45">
      <c r="B12">
        <v>200</v>
      </c>
      <c r="C12">
        <v>0.98298429319371727</v>
      </c>
      <c r="D12">
        <v>0.90575916230366493</v>
      </c>
      <c r="E12">
        <v>0.40260444926749872</v>
      </c>
      <c r="F12">
        <v>0.41230366492146597</v>
      </c>
    </row>
    <row r="13" spans="2:7" x14ac:dyDescent="0.45">
      <c r="B13">
        <v>300</v>
      </c>
      <c r="C13">
        <v>0.98298429319371727</v>
      </c>
      <c r="D13">
        <v>0.90575916230366493</v>
      </c>
      <c r="E13">
        <f>AVERAGE(E3:E12)</f>
        <v>0.40463295309856318</v>
      </c>
      <c r="F13">
        <v>0.39659685863874339</v>
      </c>
    </row>
    <row r="14" spans="2:7" x14ac:dyDescent="0.45">
      <c r="B14">
        <v>400</v>
      </c>
      <c r="C14">
        <v>0.98298429319371727</v>
      </c>
      <c r="D14">
        <v>0.90575916230366493</v>
      </c>
      <c r="F14">
        <v>0.60078534031413611</v>
      </c>
    </row>
    <row r="15" spans="2:7" x14ac:dyDescent="0.45">
      <c r="B15">
        <v>500</v>
      </c>
      <c r="C15">
        <v>0.98298429319371727</v>
      </c>
      <c r="D15">
        <v>0.90575916230366493</v>
      </c>
      <c r="E15">
        <v>0.98691099476439792</v>
      </c>
      <c r="F15" s="11">
        <v>0.70549738219895286</v>
      </c>
    </row>
    <row r="16" spans="2:7" x14ac:dyDescent="0.45">
      <c r="B16">
        <v>572</v>
      </c>
      <c r="C16" s="10">
        <v>0.98298429319371727</v>
      </c>
      <c r="D16">
        <v>0.90575916230366493</v>
      </c>
      <c r="E16">
        <v>0.59424083769633507</v>
      </c>
    </row>
    <row r="17" spans="2:7" x14ac:dyDescent="0.45">
      <c r="B17"/>
      <c r="E17">
        <v>0.96989528795811519</v>
      </c>
      <c r="F17">
        <f>AVERAGE(F11:F15)</f>
        <v>0.54581151832460728</v>
      </c>
      <c r="G17" s="4" t="s">
        <v>5</v>
      </c>
    </row>
    <row r="18" spans="2:7" x14ac:dyDescent="0.45">
      <c r="B18" t="s">
        <v>7</v>
      </c>
      <c r="E18">
        <v>0.97513089005235598</v>
      </c>
    </row>
    <row r="19" spans="2:7" x14ac:dyDescent="0.45">
      <c r="B19"/>
      <c r="C19">
        <v>0.57372039724980906</v>
      </c>
      <c r="D19">
        <v>0.56191636215996754</v>
      </c>
      <c r="E19">
        <v>0.96989528795811519</v>
      </c>
      <c r="F19">
        <v>0.46184145741014282</v>
      </c>
    </row>
    <row r="20" spans="2:7" x14ac:dyDescent="0.45">
      <c r="B20"/>
      <c r="C20">
        <v>0.57372039724980906</v>
      </c>
      <c r="D20">
        <v>0.56191636215996754</v>
      </c>
      <c r="E20">
        <v>0.97774869109947649</v>
      </c>
      <c r="F20">
        <v>0.38461538461538458</v>
      </c>
    </row>
    <row r="21" spans="2:7" x14ac:dyDescent="0.45">
      <c r="B21"/>
      <c r="C21">
        <v>0.57372039724980906</v>
      </c>
      <c r="D21">
        <v>0.56191636215996754</v>
      </c>
      <c r="E21">
        <v>0.97382198952879584</v>
      </c>
      <c r="F21">
        <v>0.38846153846153852</v>
      </c>
    </row>
    <row r="22" spans="2:7" x14ac:dyDescent="0.45">
      <c r="B22"/>
      <c r="C22">
        <v>0.57372039724980906</v>
      </c>
      <c r="D22">
        <v>0.56191636215996754</v>
      </c>
      <c r="E22">
        <v>0.97643979057591623</v>
      </c>
      <c r="F22">
        <v>0.50136537411250681</v>
      </c>
    </row>
    <row r="23" spans="2:7" x14ac:dyDescent="0.45">
      <c r="B23"/>
      <c r="C23">
        <v>0.57372039724980906</v>
      </c>
      <c r="D23">
        <v>0.56191636215996754</v>
      </c>
      <c r="E23">
        <v>0.97774869109947649</v>
      </c>
      <c r="F23" s="12">
        <v>0.52052148720424918</v>
      </c>
    </row>
    <row r="24" spans="2:7" x14ac:dyDescent="0.45">
      <c r="B24"/>
      <c r="C24" s="13">
        <v>0.57372039724980906</v>
      </c>
      <c r="D24">
        <v>0.56191636215996754</v>
      </c>
      <c r="E24">
        <v>0.97120418848167545</v>
      </c>
    </row>
    <row r="25" spans="2:7" x14ac:dyDescent="0.45">
      <c r="B25"/>
      <c r="E25">
        <f>AVERAGE(E15:E24)</f>
        <v>0.937303664921466</v>
      </c>
      <c r="F25">
        <f>AVERAGE(F19:F23)</f>
        <v>0.45136104836076435</v>
      </c>
      <c r="G25" s="4" t="s">
        <v>5</v>
      </c>
    </row>
    <row r="26" spans="2:7" x14ac:dyDescent="0.45">
      <c r="B26"/>
    </row>
    <row r="27" spans="2:7" x14ac:dyDescent="0.45">
      <c r="B27" t="s">
        <v>8</v>
      </c>
      <c r="E27">
        <v>0.57251328777524679</v>
      </c>
    </row>
    <row r="28" spans="2:7" x14ac:dyDescent="0.45">
      <c r="B28" t="s">
        <v>0</v>
      </c>
      <c r="C28" t="s">
        <v>6</v>
      </c>
      <c r="D28" t="s">
        <v>7</v>
      </c>
      <c r="E28">
        <v>0.49862712795167491</v>
      </c>
    </row>
    <row r="29" spans="2:7" x14ac:dyDescent="0.45">
      <c r="B29" s="2">
        <v>0.44444444444444442</v>
      </c>
      <c r="C29">
        <f t="shared" ref="C29:C48" si="0">(B29*D29)/(2*B29-D29)</f>
        <v>1.0403120936280883E-2</v>
      </c>
      <c r="D29" s="2">
        <v>2.0330368487928841E-2</v>
      </c>
      <c r="E29">
        <v>0.5710982658959538</v>
      </c>
    </row>
    <row r="30" spans="2:7" x14ac:dyDescent="0.45">
      <c r="B30" s="3">
        <v>0.45</v>
      </c>
      <c r="C30">
        <f t="shared" si="0"/>
        <v>1.1703511053315997E-2</v>
      </c>
      <c r="D30" s="3">
        <v>2.2813688212927761E-2</v>
      </c>
      <c r="E30">
        <v>0.56632459141011027</v>
      </c>
      <c r="F30">
        <v>0.40443686006825941</v>
      </c>
    </row>
    <row r="31" spans="2:7" ht="17.399999999999999" customHeight="1" x14ac:dyDescent="0.45">
      <c r="B31" s="3">
        <v>0.44444444444444442</v>
      </c>
      <c r="C31">
        <f t="shared" si="0"/>
        <v>1.0403120936280883E-2</v>
      </c>
      <c r="D31" s="3">
        <v>2.0330368487928841E-2</v>
      </c>
      <c r="E31">
        <v>0.56956187548039972</v>
      </c>
      <c r="F31">
        <v>0.40443686006825941</v>
      </c>
    </row>
    <row r="32" spans="2:7" x14ac:dyDescent="0.45">
      <c r="B32" s="3">
        <v>0.44444444444444442</v>
      </c>
      <c r="C32">
        <f t="shared" si="0"/>
        <v>1.0403120936280883E-2</v>
      </c>
      <c r="D32" s="3">
        <v>2.0330368487928841E-2</v>
      </c>
      <c r="E32">
        <v>0.56698292220113855</v>
      </c>
      <c r="F32">
        <v>0.40443686006825941</v>
      </c>
    </row>
    <row r="33" spans="2:6" x14ac:dyDescent="0.45">
      <c r="B33" s="3">
        <v>0.44444444444444442</v>
      </c>
      <c r="C33">
        <f t="shared" si="0"/>
        <v>1.0403120936280883E-2</v>
      </c>
      <c r="D33" s="3">
        <v>2.0330368487928841E-2</v>
      </c>
      <c r="E33">
        <v>0.56989659134431248</v>
      </c>
      <c r="F33">
        <v>0.40443686006825941</v>
      </c>
    </row>
    <row r="34" spans="2:6" x14ac:dyDescent="0.45">
      <c r="B34" s="3">
        <v>0.44444444444444442</v>
      </c>
      <c r="C34">
        <f t="shared" si="0"/>
        <v>1.0403120936280883E-2</v>
      </c>
      <c r="D34" s="3">
        <v>2.0330368487928841E-2</v>
      </c>
      <c r="E34">
        <v>0.56773211567732118</v>
      </c>
      <c r="F34">
        <v>0.40443686006825941</v>
      </c>
    </row>
    <row r="35" spans="2:6" x14ac:dyDescent="0.45">
      <c r="B35" s="3">
        <v>0.44444444444444442</v>
      </c>
      <c r="C35">
        <f t="shared" si="0"/>
        <v>1.0403120936280883E-2</v>
      </c>
      <c r="D35" s="3">
        <v>2.0330368487928841E-2</v>
      </c>
      <c r="E35">
        <v>0.56957682043461688</v>
      </c>
      <c r="F35">
        <v>0.40443686006825941</v>
      </c>
    </row>
    <row r="36" spans="2:6" x14ac:dyDescent="0.45">
      <c r="B36" s="3">
        <v>0.44444444444444442</v>
      </c>
      <c r="C36">
        <f t="shared" si="0"/>
        <v>1.0403120936280883E-2</v>
      </c>
      <c r="D36" s="3">
        <v>2.0330368487928841E-2</v>
      </c>
      <c r="E36">
        <v>0.56923667050249327</v>
      </c>
    </row>
    <row r="37" spans="2:6" x14ac:dyDescent="0.45">
      <c r="B37" s="3">
        <v>0.44444444444444442</v>
      </c>
      <c r="C37">
        <f t="shared" si="0"/>
        <v>1.0403120936280883E-2</v>
      </c>
      <c r="D37" s="3">
        <v>2.0330368487928841E-2</v>
      </c>
      <c r="E37">
        <f>AVERAGE(E27:E36)</f>
        <v>0.56215502686732688</v>
      </c>
      <c r="F37">
        <v>0.93062827225130895</v>
      </c>
    </row>
    <row r="38" spans="2:6" x14ac:dyDescent="0.45">
      <c r="B38" s="3">
        <v>0.44444444444444442</v>
      </c>
      <c r="C38">
        <f t="shared" si="0"/>
        <v>1.0403120936280883E-2</v>
      </c>
      <c r="D38" s="3">
        <v>2.0330368487928841E-2</v>
      </c>
      <c r="F38">
        <v>0.93062827225130895</v>
      </c>
    </row>
    <row r="39" spans="2:6" x14ac:dyDescent="0.45">
      <c r="B39" s="3">
        <v>0.44444444444444442</v>
      </c>
      <c r="C39">
        <f t="shared" si="0"/>
        <v>1.0403120936280883E-2</v>
      </c>
      <c r="D39" s="3">
        <v>2.0330368487928841E-2</v>
      </c>
      <c r="F39">
        <v>0.93062827225130895</v>
      </c>
    </row>
    <row r="40" spans="2:6" x14ac:dyDescent="0.45">
      <c r="B40" s="3">
        <v>0.44444444444444442</v>
      </c>
      <c r="C40">
        <f t="shared" si="0"/>
        <v>1.0403120936280883E-2</v>
      </c>
      <c r="D40" s="3">
        <v>2.0330368487928841E-2</v>
      </c>
      <c r="F40">
        <v>0.93062827225130895</v>
      </c>
    </row>
    <row r="41" spans="2:6" x14ac:dyDescent="0.45">
      <c r="B41" s="3">
        <v>0.44444444444444442</v>
      </c>
      <c r="C41">
        <f t="shared" si="0"/>
        <v>1.0403120936280883E-2</v>
      </c>
      <c r="D41" s="3">
        <v>2.0330368487928841E-2</v>
      </c>
      <c r="F41">
        <v>0.93062827225130895</v>
      </c>
    </row>
    <row r="42" spans="2:6" x14ac:dyDescent="0.45">
      <c r="B42" s="3">
        <v>0.44444444444444442</v>
      </c>
      <c r="C42">
        <f t="shared" si="0"/>
        <v>1.0403120936280883E-2</v>
      </c>
      <c r="D42" s="3">
        <v>2.0330368487928841E-2</v>
      </c>
      <c r="F42">
        <v>0.93062827225130895</v>
      </c>
    </row>
    <row r="43" spans="2:6" x14ac:dyDescent="0.45">
      <c r="B43" s="3">
        <v>0.44444444444444442</v>
      </c>
      <c r="C43">
        <f t="shared" si="0"/>
        <v>1.0403120936280883E-2</v>
      </c>
      <c r="D43" s="3">
        <v>2.0330368487928841E-2</v>
      </c>
    </row>
    <row r="44" spans="2:6" x14ac:dyDescent="0.45">
      <c r="B44" s="3">
        <v>0.44444444444444442</v>
      </c>
      <c r="C44">
        <f t="shared" si="0"/>
        <v>1.0403120936280883E-2</v>
      </c>
      <c r="D44" s="3">
        <v>2.0330368487928841E-2</v>
      </c>
      <c r="F44">
        <v>0.56383822363203806</v>
      </c>
    </row>
    <row r="45" spans="2:6" x14ac:dyDescent="0.45">
      <c r="B45" s="3">
        <v>0.44444444444444442</v>
      </c>
      <c r="C45">
        <f t="shared" si="0"/>
        <v>1.0403120936280883E-2</v>
      </c>
      <c r="D45" s="3">
        <v>2.0330368487928841E-2</v>
      </c>
      <c r="F45">
        <v>0.56383822363203806</v>
      </c>
    </row>
    <row r="46" spans="2:6" ht="18.600000000000001" customHeight="1" thickBot="1" x14ac:dyDescent="0.5">
      <c r="B46" s="3">
        <v>0.44444444444444442</v>
      </c>
      <c r="C46">
        <f t="shared" si="0"/>
        <v>1.0403120936280883E-2</v>
      </c>
      <c r="D46" s="5">
        <v>2.0330368487928841E-2</v>
      </c>
      <c r="F46">
        <v>0.56383822363203806</v>
      </c>
    </row>
    <row r="47" spans="2:6" x14ac:dyDescent="0.45">
      <c r="B47" s="3">
        <v>0.44444444444444442</v>
      </c>
      <c r="C47">
        <f t="shared" si="0"/>
        <v>1.0403120936280883E-2</v>
      </c>
      <c r="D47">
        <v>2.0330368487928841E-2</v>
      </c>
      <c r="F47">
        <v>0.56383822363203806</v>
      </c>
    </row>
    <row r="48" spans="2:6" ht="18.600000000000001" customHeight="1" thickBot="1" x14ac:dyDescent="0.5">
      <c r="B48" s="5">
        <v>0.53333333333333333</v>
      </c>
      <c r="C48">
        <f t="shared" si="0"/>
        <v>2.0806241872561769E-2</v>
      </c>
      <c r="D48" s="5">
        <v>4.005006257822278E-2</v>
      </c>
      <c r="F48">
        <v>0.56383822363203806</v>
      </c>
    </row>
    <row r="49" spans="1:6" ht="18.600000000000001" customHeight="1" thickBot="1" x14ac:dyDescent="0.5">
      <c r="A49" s="6" t="s">
        <v>5</v>
      </c>
      <c r="B49" s="7">
        <f>AVERAGE(B29:B48)</f>
        <v>0.44916666666666683</v>
      </c>
      <c r="C49" s="7">
        <f>AVERAGE(C29:C48)</f>
        <v>1.098829648894668E-2</v>
      </c>
      <c r="D49" s="8">
        <f>AVERAGE(D29:D48)</f>
        <v>2.1440519178693489E-2</v>
      </c>
      <c r="F49">
        <v>0.56383822363203806</v>
      </c>
    </row>
    <row r="52" spans="1:6" x14ac:dyDescent="0.45">
      <c r="B52" s="1" t="s">
        <v>9</v>
      </c>
    </row>
    <row r="53" spans="1:6" x14ac:dyDescent="0.45">
      <c r="B53" s="1" t="s">
        <v>10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大藪　一馬</dc:creator>
  <cp:lastModifiedBy>大藪　一馬</cp:lastModifiedBy>
  <dcterms:created xsi:type="dcterms:W3CDTF">2024-12-29T16:27:51Z</dcterms:created>
  <dcterms:modified xsi:type="dcterms:W3CDTF">2025-12-07T23:22:11Z</dcterms:modified>
</cp:coreProperties>
</file>